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le/Downloads/EXCEL-CLASSIFICATION/llamaindex/POC_data/aws/"/>
    </mc:Choice>
  </mc:AlternateContent>
  <xr:revisionPtr revIDLastSave="0" documentId="13_ncr:1_{D74ECE7F-6753-4E47-B5BE-4EBECB4AA196}" xr6:coauthVersionLast="47" xr6:coauthVersionMax="47" xr10:uidLastSave="{00000000-0000-0000-0000-000000000000}"/>
  <bookViews>
    <workbookView xWindow="0" yWindow="760" windowWidth="34560" windowHeight="19940" xr2:uid="{00000000-000D-0000-FFFF-FFFF00000000}"/>
  </bookViews>
  <sheets>
    <sheet name="Hourly" sheetId="1" r:id="rId1"/>
    <sheet name="Sheet1" sheetId="2" r:id="rId2"/>
  </sheets>
  <definedNames>
    <definedName name="_xlnm._FilterDatabase" localSheetId="0" hidden="1">Hourly!$A$3:$W$735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7" roundtripDataChecksum="HR2Iqi7H7UwQCQHXSr+ZQ0MWUrOHpfuGAoWY8kDu/6s="/>
    </ext>
  </extLst>
</workbook>
</file>

<file path=xl/calcChain.xml><?xml version="1.0" encoding="utf-8"?>
<calcChain xmlns="http://schemas.openxmlformats.org/spreadsheetml/2006/main">
  <c r="N735" i="1" l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J150" i="1"/>
  <c r="N149" i="1"/>
  <c r="J149" i="1"/>
  <c r="N148" i="1"/>
  <c r="J148" i="1"/>
  <c r="N147" i="1"/>
  <c r="J147" i="1"/>
  <c r="N146" i="1"/>
  <c r="J146" i="1"/>
  <c r="O145" i="1"/>
  <c r="N145" i="1"/>
  <c r="N144" i="1"/>
  <c r="J144" i="1"/>
  <c r="O143" i="1"/>
  <c r="N142" i="1"/>
  <c r="J142" i="1"/>
  <c r="O141" i="1"/>
  <c r="N141" i="1"/>
  <c r="N140" i="1"/>
  <c r="J140" i="1"/>
  <c r="O139" i="1"/>
  <c r="N139" i="1"/>
  <c r="N138" i="1"/>
  <c r="J138" i="1"/>
  <c r="N137" i="1"/>
  <c r="J137" i="1"/>
  <c r="O136" i="1"/>
  <c r="N136" i="1"/>
  <c r="N135" i="1"/>
  <c r="J135" i="1"/>
  <c r="O134" i="1"/>
  <c r="N134" i="1"/>
  <c r="N133" i="1"/>
  <c r="J133" i="1"/>
  <c r="N132" i="1"/>
  <c r="J132" i="1"/>
  <c r="O131" i="1"/>
  <c r="N131" i="1"/>
  <c r="N130" i="1"/>
  <c r="J130" i="1"/>
  <c r="N129" i="1"/>
  <c r="N128" i="1"/>
  <c r="J128" i="1"/>
  <c r="N127" i="1"/>
  <c r="N126" i="1"/>
  <c r="J126" i="1"/>
  <c r="O125" i="1"/>
  <c r="N125" i="1"/>
  <c r="N124" i="1"/>
  <c r="J124" i="1"/>
  <c r="N123" i="1"/>
  <c r="J123" i="1"/>
  <c r="N122" i="1"/>
  <c r="J122" i="1"/>
  <c r="N121" i="1"/>
  <c r="J121" i="1"/>
  <c r="N120" i="1"/>
  <c r="J120" i="1"/>
  <c r="N119" i="1"/>
  <c r="J119" i="1"/>
  <c r="N118" i="1"/>
  <c r="J118" i="1"/>
  <c r="N117" i="1"/>
  <c r="J117" i="1"/>
  <c r="N116" i="1"/>
  <c r="J116" i="1"/>
  <c r="N115" i="1"/>
  <c r="J115" i="1"/>
  <c r="N114" i="1"/>
  <c r="J114" i="1"/>
  <c r="N113" i="1"/>
  <c r="N112" i="1"/>
  <c r="J112" i="1"/>
  <c r="N111" i="1"/>
  <c r="J111" i="1"/>
  <c r="O110" i="1"/>
  <c r="N110" i="1"/>
  <c r="N109" i="1"/>
  <c r="J109" i="1"/>
  <c r="N108" i="1"/>
  <c r="J108" i="1"/>
  <c r="N107" i="1"/>
  <c r="N106" i="1"/>
  <c r="J106" i="1"/>
  <c r="N105" i="1"/>
  <c r="J105" i="1"/>
  <c r="N104" i="1"/>
  <c r="N103" i="1"/>
  <c r="J103" i="1"/>
  <c r="N102" i="1"/>
  <c r="J102" i="1"/>
  <c r="O101" i="1"/>
  <c r="N101" i="1"/>
  <c r="N100" i="1"/>
  <c r="J100" i="1"/>
  <c r="O99" i="1"/>
  <c r="N99" i="1"/>
  <c r="N98" i="1"/>
  <c r="J98" i="1"/>
  <c r="N97" i="1"/>
  <c r="J97" i="1"/>
  <c r="N96" i="1"/>
  <c r="J96" i="1"/>
  <c r="O95" i="1"/>
  <c r="N95" i="1"/>
  <c r="N94" i="1"/>
  <c r="J94" i="1"/>
  <c r="N93" i="1"/>
  <c r="J93" i="1"/>
  <c r="O92" i="1"/>
  <c r="N92" i="1"/>
  <c r="N91" i="1"/>
  <c r="J91" i="1"/>
  <c r="N90" i="1"/>
  <c r="N89" i="1"/>
  <c r="J89" i="1"/>
  <c r="N88" i="1"/>
  <c r="J88" i="1"/>
  <c r="O87" i="1"/>
  <c r="N87" i="1"/>
  <c r="N86" i="1"/>
  <c r="J86" i="1"/>
  <c r="N85" i="1"/>
  <c r="N84" i="1"/>
  <c r="J84" i="1"/>
  <c r="N83" i="1"/>
  <c r="N82" i="1"/>
  <c r="J82" i="1"/>
  <c r="N81" i="1"/>
  <c r="N80" i="1"/>
  <c r="J80" i="1"/>
  <c r="N79" i="1"/>
  <c r="J79" i="1"/>
  <c r="O78" i="1"/>
  <c r="N78" i="1"/>
  <c r="N77" i="1"/>
  <c r="J77" i="1"/>
  <c r="N76" i="1"/>
  <c r="N75" i="1"/>
  <c r="J75" i="1"/>
  <c r="O74" i="1"/>
  <c r="N74" i="1"/>
  <c r="N73" i="1"/>
  <c r="J73" i="1"/>
  <c r="N72" i="1"/>
  <c r="J72" i="1"/>
  <c r="N71" i="1"/>
  <c r="J71" i="1"/>
  <c r="N70" i="1"/>
  <c r="J70" i="1"/>
  <c r="N69" i="1"/>
  <c r="J69" i="1"/>
  <c r="N68" i="1"/>
  <c r="J68" i="1"/>
  <c r="N67" i="1"/>
  <c r="J67" i="1"/>
  <c r="N66" i="1"/>
  <c r="J66" i="1"/>
  <c r="O65" i="1"/>
  <c r="N65" i="1"/>
  <c r="N64" i="1"/>
  <c r="J64" i="1"/>
  <c r="O63" i="1"/>
  <c r="N63" i="1"/>
  <c r="N62" i="1"/>
  <c r="J62" i="1"/>
  <c r="N61" i="1"/>
  <c r="N60" i="1"/>
  <c r="J60" i="1"/>
  <c r="N59" i="1"/>
  <c r="N58" i="1"/>
  <c r="J58" i="1"/>
  <c r="N57" i="1"/>
  <c r="N56" i="1"/>
  <c r="J56" i="1"/>
  <c r="O55" i="1"/>
  <c r="N55" i="1"/>
  <c r="N54" i="1"/>
  <c r="J54" i="1"/>
  <c r="N53" i="1"/>
  <c r="N52" i="1"/>
  <c r="J52" i="1"/>
  <c r="N51" i="1"/>
  <c r="J51" i="1"/>
  <c r="N50" i="1"/>
  <c r="J50" i="1"/>
  <c r="N49" i="1"/>
  <c r="J49" i="1"/>
  <c r="O48" i="1"/>
  <c r="N48" i="1"/>
  <c r="N47" i="1"/>
  <c r="J47" i="1"/>
  <c r="N46" i="1"/>
  <c r="N45" i="1"/>
  <c r="J45" i="1"/>
  <c r="O44" i="1"/>
  <c r="N44" i="1"/>
  <c r="N43" i="1"/>
  <c r="J43" i="1"/>
  <c r="N42" i="1"/>
  <c r="J42" i="1"/>
  <c r="O41" i="1"/>
  <c r="N41" i="1"/>
  <c r="N40" i="1"/>
  <c r="J40" i="1"/>
  <c r="N39" i="1"/>
  <c r="J39" i="1"/>
  <c r="N38" i="1"/>
  <c r="N37" i="1"/>
  <c r="J37" i="1"/>
  <c r="O36" i="1"/>
  <c r="N36" i="1"/>
  <c r="N35" i="1"/>
  <c r="J35" i="1"/>
  <c r="N34" i="1"/>
  <c r="J34" i="1"/>
  <c r="O33" i="1"/>
  <c r="N33" i="1"/>
  <c r="N32" i="1"/>
  <c r="J32" i="1"/>
  <c r="N31" i="1"/>
  <c r="J31" i="1"/>
  <c r="O30" i="1"/>
  <c r="N30" i="1"/>
  <c r="N29" i="1"/>
  <c r="J29" i="1"/>
  <c r="N28" i="1"/>
  <c r="J28" i="1"/>
  <c r="N27" i="1"/>
  <c r="J27" i="1"/>
  <c r="N26" i="1"/>
  <c r="J26" i="1"/>
  <c r="N25" i="1"/>
  <c r="J25" i="1"/>
  <c r="N24" i="1"/>
  <c r="J24" i="1"/>
  <c r="N23" i="1"/>
  <c r="N22" i="1"/>
  <c r="J22" i="1"/>
  <c r="N21" i="1"/>
  <c r="J21" i="1"/>
  <c r="O20" i="1"/>
  <c r="N20" i="1"/>
  <c r="N19" i="1"/>
  <c r="J19" i="1"/>
  <c r="N18" i="1"/>
  <c r="N17" i="1"/>
  <c r="J17" i="1"/>
  <c r="O16" i="1"/>
  <c r="N16" i="1"/>
  <c r="N15" i="1"/>
  <c r="J15" i="1"/>
  <c r="O14" i="1"/>
  <c r="N14" i="1"/>
  <c r="N13" i="1"/>
  <c r="J13" i="1"/>
  <c r="N12" i="1"/>
  <c r="J12" i="1"/>
  <c r="O11" i="1"/>
  <c r="N10" i="1"/>
  <c r="J10" i="1"/>
  <c r="N9" i="1"/>
  <c r="N8" i="1"/>
  <c r="J8" i="1"/>
  <c r="N7" i="1"/>
  <c r="N6" i="1"/>
  <c r="J6" i="1"/>
  <c r="N5" i="1"/>
  <c r="J5" i="1"/>
  <c r="O4" i="1"/>
  <c r="N4" i="1"/>
</calcChain>
</file>

<file path=xl/sharedStrings.xml><?xml version="1.0" encoding="utf-8"?>
<sst xmlns="http://schemas.openxmlformats.org/spreadsheetml/2006/main" count="761" uniqueCount="81">
  <si>
    <t>Payroll Frequency - Weekly</t>
  </si>
  <si>
    <t>CAPS  - New Payroll Associates, LLC -  MUSIC TOURS Payroll Submission</t>
  </si>
  <si>
    <t>LEGAL NAME</t>
  </si>
  <si>
    <t>SSN</t>
  </si>
  <si>
    <t>Indicate Home Zip Code</t>
  </si>
  <si>
    <t>Show City, State</t>
  </si>
  <si>
    <t>Indicate Work Location Zip Code</t>
  </si>
  <si>
    <t xml:space="preserve">Indicate Work Day Type </t>
  </si>
  <si>
    <t>Optional Cost Code/ GL Acct Code</t>
  </si>
  <si>
    <t>Work Date</t>
  </si>
  <si>
    <t>Occupation/Job Title</t>
  </si>
  <si>
    <t>Hourly Rate</t>
  </si>
  <si>
    <t>ST HRS</t>
  </si>
  <si>
    <t>O/T HRS</t>
  </si>
  <si>
    <t>D/T HRS</t>
  </si>
  <si>
    <t>Total Hours</t>
  </si>
  <si>
    <t>Wage Subtotal</t>
  </si>
  <si>
    <r>
      <rPr>
        <b/>
        <sz val="11"/>
        <color theme="1"/>
        <rFont val="Calibri"/>
        <family val="2"/>
      </rPr>
      <t xml:space="preserve">Reimbursement/Other Pay </t>
    </r>
    <r>
      <rPr>
        <i/>
        <sz val="11"/>
        <color theme="1"/>
        <rFont val="Calibri"/>
        <family val="2"/>
      </rPr>
      <t>(please provide description in Notes)</t>
    </r>
  </si>
  <si>
    <t>Per Diem-Non Taxable</t>
  </si>
  <si>
    <t>Per Diem- Taxable</t>
  </si>
  <si>
    <t>Wage Advance Deduction</t>
  </si>
  <si>
    <t>Per-Diem Advance Deduction</t>
  </si>
  <si>
    <r>
      <rPr>
        <b/>
        <sz val="11"/>
        <color theme="1"/>
        <rFont val="Calibri"/>
        <family val="2"/>
      </rPr>
      <t xml:space="preserve">Other Employee Deduction </t>
    </r>
    <r>
      <rPr>
        <i/>
        <sz val="11"/>
        <color theme="1"/>
        <rFont val="Calibri"/>
        <family val="2"/>
      </rPr>
      <t>(please provide description in Notes)</t>
    </r>
  </si>
  <si>
    <t xml:space="preserve">401K </t>
  </si>
  <si>
    <t>Notes</t>
  </si>
  <si>
    <t>Las Vegas, NV</t>
  </si>
  <si>
    <t>SHOW</t>
  </si>
  <si>
    <t>Artist Relations</t>
  </si>
  <si>
    <t>Ashley Atienza</t>
  </si>
  <si>
    <t>Morris, Ronald</t>
  </si>
  <si>
    <t>Los Angeles, CA</t>
  </si>
  <si>
    <t>Reyes, Meagan</t>
  </si>
  <si>
    <t>Thomas, Keith</t>
  </si>
  <si>
    <t>Bailey, Axel</t>
  </si>
  <si>
    <t>Rodriguez, James</t>
  </si>
  <si>
    <t>Miller, Anthony</t>
  </si>
  <si>
    <t>Taylor, Drew</t>
  </si>
  <si>
    <t>Sanchez, Ollie</t>
  </si>
  <si>
    <t>Walker, Jenn</t>
  </si>
  <si>
    <t>Young, Natalie</t>
  </si>
  <si>
    <t>Allen, Derzon</t>
  </si>
  <si>
    <t>Scott, Jon</t>
  </si>
  <si>
    <t>Thompson, Esther</t>
  </si>
  <si>
    <t>Ramirez, Dawn</t>
  </si>
  <si>
    <t>Rivera, James</t>
  </si>
  <si>
    <t>Roberts, Jeff</t>
  </si>
  <si>
    <t>Nguyen, Allan (AJ)</t>
  </si>
  <si>
    <t>Lopez, Glenn</t>
  </si>
  <si>
    <t>Wright, Ray</t>
  </si>
  <si>
    <t>Baker, Bryan</t>
  </si>
  <si>
    <t>Flores, Mark</t>
  </si>
  <si>
    <t>Martinez, Kira</t>
  </si>
  <si>
    <t>Johnson, David</t>
  </si>
  <si>
    <t>Taylor, Madison</t>
  </si>
  <si>
    <t>xxx-xx-6008</t>
  </si>
  <si>
    <t>xxx-xx-6009</t>
  </si>
  <si>
    <t>xxx-xx-7011</t>
  </si>
  <si>
    <t>xxx-xx-8012</t>
  </si>
  <si>
    <t>xxx-xx-6013</t>
  </si>
  <si>
    <t>xxx-xx-2014</t>
  </si>
  <si>
    <t>xxx-xx-2015</t>
  </si>
  <si>
    <t>xxx-xx-7016</t>
  </si>
  <si>
    <t>xxx-xx-6017</t>
  </si>
  <si>
    <t>xxx-xx-1018</t>
  </si>
  <si>
    <t>xxx-xx-1019</t>
  </si>
  <si>
    <t>xxx-xx-1020</t>
  </si>
  <si>
    <t>xxx-xx-1021</t>
  </si>
  <si>
    <t>xxx-xx-1022</t>
  </si>
  <si>
    <t>xxx-xx-1023</t>
  </si>
  <si>
    <t>xxx-xx-1024</t>
  </si>
  <si>
    <t>xxx-xx-1025</t>
  </si>
  <si>
    <t>xxx-xx-1026</t>
  </si>
  <si>
    <t>xxx-xx-1027</t>
  </si>
  <si>
    <t>xxx-xx-1028</t>
  </si>
  <si>
    <t>xxx-xx-1029</t>
  </si>
  <si>
    <t>xxx-xx-1030</t>
  </si>
  <si>
    <t>xxx-xx-1031</t>
  </si>
  <si>
    <t>xxx-xx-1032</t>
  </si>
  <si>
    <t>xxx-xx-1033</t>
  </si>
  <si>
    <t>xxx-xx-1034</t>
  </si>
  <si>
    <t>CLIENT ENTITY NAME - Galaxy Events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</si>
</sst>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00\-00\-0000"/>
    <numFmt numFmtId="165" formatCode="mm/dd/yy"/>
    <numFmt numFmtId="166" formatCode="&quot;$&quot;#,##0.00"/>
    <numFmt numFmtId="167" formatCode="m/d/yyyy"/>
  </numFmts>
  <fonts count="9" x14ac:knownFonts="1">
    <font>
      <sz val="10"/>
      <color rgb="FF000000"/>
      <name val="Arial"/>
      <scheme val="minor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0"/>
      <color theme="1"/>
      <name val="Arial"/>
      <family val="2"/>
      <scheme val="minor"/>
    </font>
    <font>
      <i/>
      <sz val="11"/>
      <color theme="1"/>
      <name val="Calibri"/>
      <family val="2"/>
    </font>
    <font>
      <sz val="8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00FFFF"/>
        <bgColor rgb="FF00FFFF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 applyAlignment="1">
      <alignment horizontal="left"/>
    </xf>
    <xf numFmtId="0" fontId="1" fillId="0" borderId="1" xfId="0" applyFont="1" applyBorder="1"/>
    <xf numFmtId="165" fontId="1" fillId="0" borderId="1" xfId="0" applyNumberFormat="1" applyFont="1" applyBorder="1"/>
    <xf numFmtId="44" fontId="1" fillId="0" borderId="1" xfId="0" applyNumberFormat="1" applyFont="1" applyBorder="1" applyAlignment="1">
      <alignment horizontal="right"/>
    </xf>
    <xf numFmtId="0" fontId="2" fillId="0" borderId="1" xfId="0" applyFont="1" applyBorder="1" applyAlignment="1">
      <alignment horizontal="left" wrapText="1"/>
    </xf>
    <xf numFmtId="164" fontId="2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5" fontId="2" fillId="0" borderId="1" xfId="0" applyNumberFormat="1" applyFont="1" applyBorder="1" applyAlignment="1">
      <alignment horizontal="center" wrapText="1"/>
    </xf>
    <xf numFmtId="44" fontId="2" fillId="0" borderId="1" xfId="0" applyNumberFormat="1" applyFont="1" applyBorder="1" applyAlignment="1">
      <alignment horizontal="center" wrapText="1"/>
    </xf>
    <xf numFmtId="44" fontId="2" fillId="0" borderId="1" xfId="0" applyNumberFormat="1" applyFont="1" applyBorder="1" applyAlignment="1">
      <alignment horizontal="right" wrapText="1"/>
    </xf>
    <xf numFmtId="0" fontId="3" fillId="0" borderId="1" xfId="0" applyFont="1" applyBorder="1" applyAlignment="1">
      <alignment wrapText="1"/>
    </xf>
    <xf numFmtId="0" fontId="1" fillId="0" borderId="2" xfId="0" applyFont="1" applyBorder="1" applyAlignment="1">
      <alignment horizontal="left"/>
    </xf>
    <xf numFmtId="0" fontId="1" fillId="0" borderId="2" xfId="0" applyFont="1" applyBorder="1"/>
    <xf numFmtId="0" fontId="4" fillId="2" borderId="1" xfId="0" applyFont="1" applyFill="1" applyBorder="1" applyAlignment="1">
      <alignment horizontal="center"/>
    </xf>
    <xf numFmtId="14" fontId="1" fillId="0" borderId="1" xfId="0" applyNumberFormat="1" applyFont="1" applyBorder="1"/>
    <xf numFmtId="0" fontId="5" fillId="0" borderId="0" xfId="0" applyFont="1"/>
    <xf numFmtId="44" fontId="1" fillId="0" borderId="1" xfId="0" applyNumberFormat="1" applyFont="1" applyBorder="1"/>
    <xf numFmtId="44" fontId="4" fillId="0" borderId="1" xfId="0" applyNumberFormat="1" applyFont="1" applyBorder="1" applyAlignment="1">
      <alignment horizontal="right"/>
    </xf>
    <xf numFmtId="166" fontId="6" fillId="0" borderId="1" xfId="0" applyNumberFormat="1" applyFont="1" applyBorder="1" applyAlignment="1">
      <alignment horizontal="right"/>
    </xf>
    <xf numFmtId="0" fontId="1" fillId="0" borderId="3" xfId="0" applyFont="1" applyBorder="1"/>
    <xf numFmtId="0" fontId="4" fillId="0" borderId="1" xfId="0" applyFont="1" applyBorder="1"/>
    <xf numFmtId="0" fontId="1" fillId="0" borderId="4" xfId="0" applyFont="1" applyBorder="1"/>
    <xf numFmtId="166" fontId="1" fillId="0" borderId="1" xfId="0" applyNumberFormat="1" applyFont="1" applyBorder="1" applyAlignment="1">
      <alignment horizontal="left"/>
    </xf>
    <xf numFmtId="166" fontId="1" fillId="3" borderId="1" xfId="0" applyNumberFormat="1" applyFont="1" applyFill="1" applyBorder="1" applyAlignment="1">
      <alignment horizontal="left"/>
    </xf>
    <xf numFmtId="167" fontId="1" fillId="0" borderId="1" xfId="0" applyNumberFormat="1" applyFont="1" applyBorder="1"/>
    <xf numFmtId="0" fontId="5" fillId="0" borderId="1" xfId="0" applyFont="1" applyBorder="1" applyAlignment="1">
      <alignment horizontal="left"/>
    </xf>
    <xf numFmtId="0" fontId="5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7" Type="http://customschemas.google.com/relationships/workbookmetadata" Target="metadata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917"/>
  <sheetViews>
    <sheetView tabSelected="1" workbookViewId="0">
      <pane ySplit="3" topLeftCell="A144" activePane="bottomLeft" state="frozen"/>
      <selection pane="bottomLeft" activeCell="C5" sqref="C5"/>
    </sheetView>
  </sheetViews>
  <sheetFormatPr baseColWidth="10" defaultColWidth="12.6640625" defaultRowHeight="15" customHeight="1" x14ac:dyDescent="0.15"/>
  <cols>
    <col min="1" max="1" width="18.1640625" customWidth="1"/>
    <col min="2" max="2" width="27.6640625" customWidth="1"/>
    <col min="3" max="3" width="20.33203125" customWidth="1"/>
    <col min="4" max="4" width="18.83203125" customWidth="1"/>
    <col min="5" max="5" width="8.83203125" customWidth="1"/>
    <col min="6" max="6" width="5.1640625" customWidth="1"/>
    <col min="7" max="7" width="3.83203125" customWidth="1"/>
    <col min="8" max="8" width="10" customWidth="1"/>
    <col min="9" max="9" width="5.1640625" customWidth="1"/>
    <col min="10" max="10" width="7.6640625" customWidth="1"/>
    <col min="11" max="11" width="7.83203125" customWidth="1"/>
    <col min="12" max="13" width="8.5" customWidth="1"/>
    <col min="14" max="14" width="11.33203125" customWidth="1"/>
    <col min="15" max="15" width="11.6640625" customWidth="1"/>
    <col min="16" max="16" width="16.33203125" customWidth="1"/>
    <col min="17" max="18" width="9.1640625" customWidth="1"/>
    <col min="19" max="19" width="10.5" customWidth="1"/>
    <col min="20" max="20" width="10.83203125" customWidth="1"/>
    <col min="21" max="21" width="17.83203125" customWidth="1"/>
    <col min="22" max="22" width="9.1640625" customWidth="1"/>
    <col min="23" max="23" width="19.83203125" customWidth="1"/>
    <col min="24" max="26" width="9.1640625" customWidth="1"/>
  </cols>
  <sheetData>
    <row r="1" spans="1:26" x14ac:dyDescent="0.2">
      <c r="A1" s="1" t="s">
        <v>80</v>
      </c>
      <c r="B1" s="2"/>
      <c r="C1" s="3" t="s">
        <v>0</v>
      </c>
      <c r="D1" s="3"/>
      <c r="E1" s="3"/>
      <c r="F1" s="3"/>
      <c r="G1" s="3"/>
      <c r="H1" s="4"/>
      <c r="I1" s="3"/>
      <c r="J1" s="5"/>
      <c r="K1" s="3"/>
      <c r="L1" s="3"/>
      <c r="M1" s="3"/>
      <c r="N1" s="3"/>
      <c r="O1" s="5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x14ac:dyDescent="0.2">
      <c r="A2" s="1" t="s">
        <v>1</v>
      </c>
      <c r="B2" s="2"/>
      <c r="C2" s="3"/>
      <c r="D2" s="3"/>
      <c r="E2" s="3"/>
      <c r="F2" s="3"/>
      <c r="G2" s="3"/>
      <c r="H2" s="4"/>
      <c r="I2" s="3"/>
      <c r="J2" s="5"/>
      <c r="K2" s="3"/>
      <c r="L2" s="3"/>
      <c r="M2" s="3"/>
      <c r="N2" s="3"/>
      <c r="O2" s="5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58.5" customHeight="1" x14ac:dyDescent="0.2">
      <c r="A3" s="6" t="s">
        <v>2</v>
      </c>
      <c r="B3" s="7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9" t="s">
        <v>9</v>
      </c>
      <c r="I3" s="8" t="s">
        <v>10</v>
      </c>
      <c r="J3" s="10" t="s">
        <v>11</v>
      </c>
      <c r="K3" s="8" t="s">
        <v>12</v>
      </c>
      <c r="L3" s="8" t="s">
        <v>13</v>
      </c>
      <c r="M3" s="8" t="s">
        <v>14</v>
      </c>
      <c r="N3" s="8" t="s">
        <v>15</v>
      </c>
      <c r="O3" s="11" t="s">
        <v>16</v>
      </c>
      <c r="P3" s="12" t="s">
        <v>17</v>
      </c>
      <c r="Q3" s="12" t="s">
        <v>18</v>
      </c>
      <c r="R3" s="12" t="s">
        <v>19</v>
      </c>
      <c r="S3" s="12" t="s">
        <v>20</v>
      </c>
      <c r="T3" s="12" t="s">
        <v>21</v>
      </c>
      <c r="U3" s="12" t="s">
        <v>22</v>
      </c>
      <c r="V3" s="12" t="s">
        <v>23</v>
      </c>
      <c r="W3" s="12" t="s">
        <v>24</v>
      </c>
      <c r="X3" s="3"/>
      <c r="Y3" s="3"/>
      <c r="Z3" s="3"/>
    </row>
    <row r="4" spans="1:26" x14ac:dyDescent="0.2">
      <c r="A4" s="13" t="s">
        <v>29</v>
      </c>
      <c r="B4" s="14" t="s">
        <v>54</v>
      </c>
      <c r="C4" s="14">
        <v>90001</v>
      </c>
      <c r="D4" s="3" t="s">
        <v>30</v>
      </c>
      <c r="E4" s="3">
        <v>90001</v>
      </c>
      <c r="F4" s="15" t="s">
        <v>26</v>
      </c>
      <c r="G4" s="3"/>
      <c r="H4" s="16">
        <v>45582</v>
      </c>
      <c r="I4" s="17" t="s">
        <v>27</v>
      </c>
      <c r="J4" s="18">
        <v>18</v>
      </c>
      <c r="K4" s="3">
        <v>4</v>
      </c>
      <c r="L4" s="3"/>
      <c r="M4" s="3"/>
      <c r="N4" s="3">
        <f t="shared" ref="N4:N7" si="0">IF(K4+L4+M4 =0,"", K4+L4+M4)</f>
        <v>4</v>
      </c>
      <c r="O4" s="19">
        <f>J4*K4</f>
        <v>72</v>
      </c>
      <c r="P4" s="14"/>
      <c r="Q4" s="14"/>
      <c r="R4" s="14"/>
      <c r="S4" s="14"/>
      <c r="T4" s="14"/>
      <c r="U4" s="14"/>
      <c r="V4" s="14"/>
      <c r="W4" s="14"/>
      <c r="X4" s="3"/>
      <c r="Y4" s="3"/>
      <c r="Z4" s="3"/>
    </row>
    <row r="5" spans="1:26" x14ac:dyDescent="0.2">
      <c r="A5" s="13" t="s">
        <v>29</v>
      </c>
      <c r="B5" s="14" t="s">
        <v>54</v>
      </c>
      <c r="C5" s="14">
        <v>90001</v>
      </c>
      <c r="D5" s="3" t="s">
        <v>30</v>
      </c>
      <c r="E5" s="3">
        <v>90001</v>
      </c>
      <c r="F5" s="15" t="s">
        <v>26</v>
      </c>
      <c r="G5" s="3"/>
      <c r="H5" s="16">
        <v>45583</v>
      </c>
      <c r="I5" s="17" t="s">
        <v>27</v>
      </c>
      <c r="J5" s="18">
        <f t="shared" ref="J5:J6" si="1">O5/(K5+(L5*1.5)+(M5*2))</f>
        <v>29.428571428571427</v>
      </c>
      <c r="K5" s="3">
        <v>8</v>
      </c>
      <c r="L5" s="3">
        <v>4</v>
      </c>
      <c r="M5" s="3"/>
      <c r="N5" s="3">
        <f t="shared" si="0"/>
        <v>12</v>
      </c>
      <c r="O5" s="20">
        <v>412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x14ac:dyDescent="0.2">
      <c r="A6" s="13" t="s">
        <v>29</v>
      </c>
      <c r="B6" s="14" t="s">
        <v>54</v>
      </c>
      <c r="C6" s="14">
        <v>90001</v>
      </c>
      <c r="D6" s="3" t="s">
        <v>30</v>
      </c>
      <c r="E6" s="3">
        <v>90001</v>
      </c>
      <c r="F6" s="15" t="s">
        <v>26</v>
      </c>
      <c r="G6" s="3"/>
      <c r="H6" s="16">
        <v>45584</v>
      </c>
      <c r="I6" s="17" t="s">
        <v>27</v>
      </c>
      <c r="J6" s="18">
        <f t="shared" si="1"/>
        <v>29.428571428571427</v>
      </c>
      <c r="K6" s="3">
        <v>8</v>
      </c>
      <c r="L6" s="3">
        <v>4</v>
      </c>
      <c r="M6" s="3"/>
      <c r="N6" s="3">
        <f t="shared" si="0"/>
        <v>12</v>
      </c>
      <c r="O6" s="20">
        <v>412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x14ac:dyDescent="0.2">
      <c r="A7" s="13" t="s">
        <v>31</v>
      </c>
      <c r="B7" s="14" t="s">
        <v>55</v>
      </c>
      <c r="C7" s="14">
        <v>90004</v>
      </c>
      <c r="D7" s="3" t="s">
        <v>25</v>
      </c>
      <c r="E7" s="3">
        <v>90001</v>
      </c>
      <c r="F7" s="15" t="s">
        <v>26</v>
      </c>
      <c r="G7" s="3"/>
      <c r="H7" s="16">
        <v>45583</v>
      </c>
      <c r="I7" s="17" t="s">
        <v>27</v>
      </c>
      <c r="J7" s="18">
        <v>18</v>
      </c>
      <c r="K7" s="3">
        <v>2</v>
      </c>
      <c r="L7" s="3"/>
      <c r="M7" s="3"/>
      <c r="N7" s="3">
        <f t="shared" si="0"/>
        <v>2</v>
      </c>
      <c r="O7" s="19">
        <v>36</v>
      </c>
      <c r="P7" s="21"/>
      <c r="Q7" s="21"/>
      <c r="R7" s="21"/>
      <c r="S7" s="21"/>
      <c r="T7" s="21"/>
      <c r="U7" s="21"/>
      <c r="V7" s="21"/>
      <c r="W7" s="21"/>
      <c r="X7" s="3"/>
      <c r="Y7" s="3"/>
      <c r="Z7" s="3"/>
    </row>
    <row r="8" spans="1:26" x14ac:dyDescent="0.2">
      <c r="A8" s="13" t="s">
        <v>31</v>
      </c>
      <c r="B8" s="14" t="s">
        <v>55</v>
      </c>
      <c r="C8" s="14">
        <v>90004</v>
      </c>
      <c r="D8" s="3" t="s">
        <v>25</v>
      </c>
      <c r="E8" s="3">
        <v>90001</v>
      </c>
      <c r="F8" s="15" t="s">
        <v>26</v>
      </c>
      <c r="G8" s="3"/>
      <c r="H8" s="16">
        <v>45584</v>
      </c>
      <c r="I8" s="17" t="s">
        <v>27</v>
      </c>
      <c r="J8" s="18">
        <f>O8/(K8+(L8*1.5)+(M8*2))</f>
        <v>31.928571428571427</v>
      </c>
      <c r="K8" s="3">
        <v>8</v>
      </c>
      <c r="L8" s="3">
        <v>4</v>
      </c>
      <c r="M8" s="3"/>
      <c r="N8" s="22">
        <f>SUM(K8:M8)</f>
        <v>12</v>
      </c>
      <c r="O8" s="20">
        <v>447</v>
      </c>
      <c r="P8" s="14"/>
      <c r="Q8" s="14"/>
      <c r="R8" s="14"/>
      <c r="S8" s="14"/>
      <c r="T8" s="14"/>
      <c r="U8" s="14"/>
      <c r="V8" s="14"/>
      <c r="W8" s="14"/>
      <c r="X8" s="3"/>
      <c r="Y8" s="3"/>
      <c r="Z8" s="3"/>
    </row>
    <row r="9" spans="1:26" ht="15.75" customHeight="1" x14ac:dyDescent="0.2">
      <c r="A9" s="13" t="s">
        <v>32</v>
      </c>
      <c r="B9" s="3" t="s">
        <v>56</v>
      </c>
      <c r="C9" s="14">
        <v>90004</v>
      </c>
      <c r="D9" s="3" t="s">
        <v>25</v>
      </c>
      <c r="E9" s="3">
        <v>90001</v>
      </c>
      <c r="F9" s="15" t="s">
        <v>26</v>
      </c>
      <c r="G9" s="3"/>
      <c r="H9" s="16">
        <v>45583</v>
      </c>
      <c r="I9" s="17" t="s">
        <v>27</v>
      </c>
      <c r="J9" s="18">
        <v>18</v>
      </c>
      <c r="K9" s="3">
        <v>2</v>
      </c>
      <c r="L9" s="3"/>
      <c r="M9" s="3"/>
      <c r="N9" s="3">
        <f>IF(K9+L9+M9 =0,"", K9+L9+M9)</f>
        <v>2</v>
      </c>
      <c r="O9" s="19">
        <v>36</v>
      </c>
      <c r="P9" s="23"/>
      <c r="Q9" s="23"/>
      <c r="R9" s="3"/>
      <c r="S9" s="3"/>
      <c r="T9" s="3"/>
      <c r="U9" s="3"/>
      <c r="V9" s="3"/>
      <c r="W9" s="3"/>
      <c r="X9" s="3"/>
      <c r="Y9" s="3"/>
      <c r="Z9" s="3"/>
    </row>
    <row r="10" spans="1:26" ht="18" customHeight="1" x14ac:dyDescent="0.2">
      <c r="A10" s="13" t="s">
        <v>32</v>
      </c>
      <c r="B10" s="3" t="s">
        <v>56</v>
      </c>
      <c r="C10" s="3">
        <v>90004</v>
      </c>
      <c r="D10" s="3" t="s">
        <v>25</v>
      </c>
      <c r="E10" s="3">
        <v>90001</v>
      </c>
      <c r="F10" s="15" t="s">
        <v>26</v>
      </c>
      <c r="G10" s="3"/>
      <c r="H10" s="16">
        <v>45584</v>
      </c>
      <c r="I10" s="17" t="s">
        <v>27</v>
      </c>
      <c r="J10" s="18">
        <f>O10/(K10+(L10*1.5)+(M10*2))</f>
        <v>32.107142857142854</v>
      </c>
      <c r="K10" s="3">
        <v>8</v>
      </c>
      <c r="L10" s="3">
        <v>4</v>
      </c>
      <c r="M10" s="3"/>
      <c r="N10" s="22">
        <f>SUM(K10:M10)</f>
        <v>12</v>
      </c>
      <c r="O10" s="20">
        <v>449.5</v>
      </c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 x14ac:dyDescent="0.2">
      <c r="A11" s="24" t="s">
        <v>33</v>
      </c>
      <c r="B11" s="3" t="s">
        <v>57</v>
      </c>
      <c r="C11" s="14">
        <v>90004</v>
      </c>
      <c r="D11" s="3" t="s">
        <v>25</v>
      </c>
      <c r="E11" s="3">
        <v>90001</v>
      </c>
      <c r="F11" s="15" t="s">
        <v>26</v>
      </c>
      <c r="G11" s="3"/>
      <c r="H11" s="16">
        <v>45583</v>
      </c>
      <c r="I11" s="17" t="s">
        <v>27</v>
      </c>
      <c r="J11" s="18">
        <v>18</v>
      </c>
      <c r="K11" s="3">
        <v>4.25</v>
      </c>
      <c r="L11" s="3"/>
      <c r="M11" s="3"/>
      <c r="N11" s="3">
        <v>4.25</v>
      </c>
      <c r="O11" s="19">
        <f>J11*K11</f>
        <v>76.5</v>
      </c>
      <c r="P11" s="14"/>
      <c r="Q11" s="14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 x14ac:dyDescent="0.2">
      <c r="A12" s="24" t="s">
        <v>33</v>
      </c>
      <c r="B12" s="3" t="s">
        <v>57</v>
      </c>
      <c r="C12" s="3">
        <v>90004</v>
      </c>
      <c r="D12" s="3" t="s">
        <v>25</v>
      </c>
      <c r="E12" s="3">
        <v>90001</v>
      </c>
      <c r="F12" s="15" t="s">
        <v>26</v>
      </c>
      <c r="G12" s="3"/>
      <c r="H12" s="16">
        <v>45584</v>
      </c>
      <c r="I12" s="17" t="s">
        <v>27</v>
      </c>
      <c r="J12" s="18">
        <f t="shared" ref="J12:J13" si="2">O12/(K12+(L12*1.5)+(M12*2))</f>
        <v>26.285714285714285</v>
      </c>
      <c r="K12" s="3">
        <v>8</v>
      </c>
      <c r="L12" s="3">
        <v>4</v>
      </c>
      <c r="M12" s="3"/>
      <c r="N12" s="22">
        <f t="shared" ref="N12:N13" si="3">SUM(K12:M12)</f>
        <v>12</v>
      </c>
      <c r="O12" s="20">
        <v>368</v>
      </c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 x14ac:dyDescent="0.2">
      <c r="A13" s="24" t="s">
        <v>34</v>
      </c>
      <c r="B13" s="3" t="s">
        <v>58</v>
      </c>
      <c r="C13" s="14">
        <v>90004</v>
      </c>
      <c r="D13" s="3" t="s">
        <v>25</v>
      </c>
      <c r="E13" s="3">
        <v>90001</v>
      </c>
      <c r="F13" s="15" t="s">
        <v>26</v>
      </c>
      <c r="G13" s="3"/>
      <c r="H13" s="16">
        <v>45584</v>
      </c>
      <c r="I13" s="17" t="s">
        <v>27</v>
      </c>
      <c r="J13" s="18">
        <f t="shared" si="2"/>
        <v>30.642857142857142</v>
      </c>
      <c r="K13" s="3">
        <v>8</v>
      </c>
      <c r="L13" s="3">
        <v>4</v>
      </c>
      <c r="M13" s="3"/>
      <c r="N13" s="22">
        <f t="shared" si="3"/>
        <v>12</v>
      </c>
      <c r="O13" s="20">
        <v>429</v>
      </c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5.75" customHeight="1" x14ac:dyDescent="0.2">
      <c r="A14" s="1" t="s">
        <v>35</v>
      </c>
      <c r="B14" s="3" t="s">
        <v>59</v>
      </c>
      <c r="C14" s="3">
        <v>90004</v>
      </c>
      <c r="D14" s="3" t="s">
        <v>25</v>
      </c>
      <c r="E14" s="3">
        <v>90001</v>
      </c>
      <c r="F14" s="15" t="s">
        <v>26</v>
      </c>
      <c r="G14" s="3"/>
      <c r="H14" s="16">
        <v>45583</v>
      </c>
      <c r="I14" s="17" t="s">
        <v>27</v>
      </c>
      <c r="J14" s="18">
        <v>18</v>
      </c>
      <c r="K14" s="3">
        <v>2</v>
      </c>
      <c r="L14" s="3"/>
      <c r="M14" s="3"/>
      <c r="N14" s="3">
        <f>IF(K14+L14+M14 =0,"", K14+L14+M14)</f>
        <v>2</v>
      </c>
      <c r="O14" s="19">
        <f>J14*K14</f>
        <v>36</v>
      </c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 x14ac:dyDescent="0.2">
      <c r="A15" s="1" t="s">
        <v>35</v>
      </c>
      <c r="B15" s="3" t="s">
        <v>59</v>
      </c>
      <c r="C15" s="14">
        <v>90004</v>
      </c>
      <c r="D15" s="3" t="s">
        <v>25</v>
      </c>
      <c r="E15" s="3">
        <v>90001</v>
      </c>
      <c r="F15" s="15" t="s">
        <v>26</v>
      </c>
      <c r="G15" s="3"/>
      <c r="H15" s="16">
        <v>45584</v>
      </c>
      <c r="I15" s="17" t="s">
        <v>27</v>
      </c>
      <c r="J15" s="18">
        <f>O15/(K15+(L15*1.5)+(M15*2))</f>
        <v>30.321428571428573</v>
      </c>
      <c r="K15" s="3">
        <v>8</v>
      </c>
      <c r="L15" s="3">
        <v>4</v>
      </c>
      <c r="M15" s="3"/>
      <c r="N15" s="22">
        <f>SUM(K15:M15)</f>
        <v>12</v>
      </c>
      <c r="O15" s="20">
        <v>424.5</v>
      </c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.75" customHeight="1" x14ac:dyDescent="0.2">
      <c r="A16" s="1" t="s">
        <v>28</v>
      </c>
      <c r="B16" s="3" t="s">
        <v>60</v>
      </c>
      <c r="C16" s="3">
        <v>90004</v>
      </c>
      <c r="D16" s="3" t="s">
        <v>25</v>
      </c>
      <c r="E16" s="3">
        <v>90001</v>
      </c>
      <c r="F16" s="15" t="s">
        <v>26</v>
      </c>
      <c r="G16" s="3"/>
      <c r="H16" s="16">
        <v>45583</v>
      </c>
      <c r="I16" s="17" t="s">
        <v>27</v>
      </c>
      <c r="J16" s="18">
        <v>18</v>
      </c>
      <c r="K16" s="3">
        <v>2</v>
      </c>
      <c r="L16" s="3"/>
      <c r="M16" s="3"/>
      <c r="N16" s="3">
        <f>IF(K16+L16+M16 =0,"", K16+L16+M16)</f>
        <v>2</v>
      </c>
      <c r="O16" s="19">
        <f>J16*K16</f>
        <v>36</v>
      </c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 x14ac:dyDescent="0.2">
      <c r="A17" s="1" t="s">
        <v>28</v>
      </c>
      <c r="B17" s="3" t="s">
        <v>60</v>
      </c>
      <c r="C17" s="14">
        <v>90004</v>
      </c>
      <c r="D17" s="3" t="s">
        <v>25</v>
      </c>
      <c r="E17" s="3">
        <v>90001</v>
      </c>
      <c r="F17" s="15" t="s">
        <v>26</v>
      </c>
      <c r="G17" s="3"/>
      <c r="H17" s="16">
        <v>45584</v>
      </c>
      <c r="I17" s="17" t="s">
        <v>27</v>
      </c>
      <c r="J17" s="18">
        <f>O17/(K17+(L17*1.5)+(M17*2))</f>
        <v>32.357142857142854</v>
      </c>
      <c r="K17" s="3">
        <v>8</v>
      </c>
      <c r="L17" s="3">
        <v>4</v>
      </c>
      <c r="M17" s="3"/>
      <c r="N17" s="22">
        <f>SUM(K17:M17)</f>
        <v>12</v>
      </c>
      <c r="O17" s="20">
        <v>453</v>
      </c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 x14ac:dyDescent="0.2">
      <c r="A18" s="1" t="s">
        <v>36</v>
      </c>
      <c r="B18" s="3" t="s">
        <v>61</v>
      </c>
      <c r="C18" s="3">
        <v>90004</v>
      </c>
      <c r="D18" s="3" t="s">
        <v>25</v>
      </c>
      <c r="E18" s="3">
        <v>90001</v>
      </c>
      <c r="F18" s="15" t="s">
        <v>26</v>
      </c>
      <c r="G18" s="3"/>
      <c r="H18" s="16">
        <v>45583</v>
      </c>
      <c r="I18" s="17" t="s">
        <v>27</v>
      </c>
      <c r="J18" s="18">
        <v>18</v>
      </c>
      <c r="K18" s="3">
        <v>2</v>
      </c>
      <c r="L18" s="3"/>
      <c r="M18" s="3"/>
      <c r="N18" s="3">
        <f>IF(K18+L18+M18 =0,"", K18+L18+M18)</f>
        <v>2</v>
      </c>
      <c r="O18" s="19">
        <v>36</v>
      </c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 x14ac:dyDescent="0.2">
      <c r="A19" s="1" t="s">
        <v>36</v>
      </c>
      <c r="B19" s="3" t="s">
        <v>61</v>
      </c>
      <c r="C19" s="14">
        <v>90004</v>
      </c>
      <c r="D19" s="3" t="s">
        <v>25</v>
      </c>
      <c r="E19" s="3">
        <v>90001</v>
      </c>
      <c r="F19" s="15" t="s">
        <v>26</v>
      </c>
      <c r="G19" s="3"/>
      <c r="H19" s="16">
        <v>45584</v>
      </c>
      <c r="I19" s="17" t="s">
        <v>27</v>
      </c>
      <c r="J19" s="18">
        <f>O19/(K19+(L19*1.5)+(M19*2))</f>
        <v>27.892857142857142</v>
      </c>
      <c r="K19" s="3">
        <v>8</v>
      </c>
      <c r="L19" s="3">
        <v>4</v>
      </c>
      <c r="M19" s="3"/>
      <c r="N19" s="22">
        <f>SUM(K19:M19)</f>
        <v>12</v>
      </c>
      <c r="O19" s="20">
        <v>390.5</v>
      </c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 x14ac:dyDescent="0.2">
      <c r="A20" s="1" t="s">
        <v>36</v>
      </c>
      <c r="B20" s="3" t="s">
        <v>61</v>
      </c>
      <c r="C20" s="3">
        <v>90004</v>
      </c>
      <c r="D20" s="3" t="s">
        <v>25</v>
      </c>
      <c r="E20" s="3">
        <v>90001</v>
      </c>
      <c r="F20" s="15" t="s">
        <v>26</v>
      </c>
      <c r="G20" s="3"/>
      <c r="H20" s="16">
        <v>45582</v>
      </c>
      <c r="I20" s="17" t="s">
        <v>27</v>
      </c>
      <c r="J20" s="18">
        <v>18</v>
      </c>
      <c r="K20" s="3">
        <v>2</v>
      </c>
      <c r="L20" s="3"/>
      <c r="M20" s="3"/>
      <c r="N20" s="3">
        <f>IF(K20+L20+M20 =0,"", K20+L20+M20)</f>
        <v>2</v>
      </c>
      <c r="O20" s="19">
        <f>J20*K20</f>
        <v>36</v>
      </c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 x14ac:dyDescent="0.2">
      <c r="A21" s="1" t="s">
        <v>36</v>
      </c>
      <c r="B21" s="3" t="s">
        <v>61</v>
      </c>
      <c r="C21" s="14">
        <v>90004</v>
      </c>
      <c r="D21" s="3" t="s">
        <v>25</v>
      </c>
      <c r="E21" s="3">
        <v>90001</v>
      </c>
      <c r="F21" s="15" t="s">
        <v>26</v>
      </c>
      <c r="G21" s="3"/>
      <c r="H21" s="16">
        <v>45583</v>
      </c>
      <c r="I21" s="17" t="s">
        <v>27</v>
      </c>
      <c r="J21" s="18">
        <f t="shared" ref="J21:J22" si="4">O21/(K21+(L21*1.5)+(M21*2))</f>
        <v>31.785714285714285</v>
      </c>
      <c r="K21" s="3">
        <v>8</v>
      </c>
      <c r="L21" s="3">
        <v>4</v>
      </c>
      <c r="M21" s="3"/>
      <c r="N21" s="22">
        <f t="shared" ref="N21:N22" si="5">SUM(K21:M21)</f>
        <v>12</v>
      </c>
      <c r="O21" s="20">
        <v>445</v>
      </c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 x14ac:dyDescent="0.2">
      <c r="A22" s="1" t="s">
        <v>36</v>
      </c>
      <c r="B22" s="3" t="s">
        <v>61</v>
      </c>
      <c r="C22" s="3">
        <v>90004</v>
      </c>
      <c r="D22" s="3" t="s">
        <v>25</v>
      </c>
      <c r="E22" s="3">
        <v>90001</v>
      </c>
      <c r="F22" s="15" t="s">
        <v>26</v>
      </c>
      <c r="G22" s="3"/>
      <c r="H22" s="16">
        <v>45584</v>
      </c>
      <c r="I22" s="17" t="s">
        <v>27</v>
      </c>
      <c r="J22" s="18">
        <f t="shared" si="4"/>
        <v>31.785714285714285</v>
      </c>
      <c r="K22" s="3">
        <v>8</v>
      </c>
      <c r="L22" s="3">
        <v>4</v>
      </c>
      <c r="M22" s="3"/>
      <c r="N22" s="22">
        <f t="shared" si="5"/>
        <v>12</v>
      </c>
      <c r="O22" s="20">
        <v>445</v>
      </c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 x14ac:dyDescent="0.2">
      <c r="A23" s="24" t="s">
        <v>37</v>
      </c>
      <c r="B23" s="3" t="s">
        <v>62</v>
      </c>
      <c r="C23" s="14">
        <v>90004</v>
      </c>
      <c r="D23" s="3" t="s">
        <v>25</v>
      </c>
      <c r="E23" s="3">
        <v>90001</v>
      </c>
      <c r="F23" s="15" t="s">
        <v>26</v>
      </c>
      <c r="G23" s="3"/>
      <c r="H23" s="16">
        <v>45583</v>
      </c>
      <c r="I23" s="17" t="s">
        <v>27</v>
      </c>
      <c r="J23" s="18">
        <v>18</v>
      </c>
      <c r="K23" s="3">
        <v>2</v>
      </c>
      <c r="L23" s="3"/>
      <c r="M23" s="3"/>
      <c r="N23" s="3">
        <f>IF(K23+L23+M23 =0,"", K23+L23+M23)</f>
        <v>2</v>
      </c>
      <c r="O23" s="19">
        <v>36</v>
      </c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 x14ac:dyDescent="0.2">
      <c r="A24" s="24" t="s">
        <v>37</v>
      </c>
      <c r="B24" s="3" t="s">
        <v>62</v>
      </c>
      <c r="C24" s="3">
        <v>90004</v>
      </c>
      <c r="D24" s="3" t="s">
        <v>25</v>
      </c>
      <c r="E24" s="3">
        <v>90001</v>
      </c>
      <c r="F24" s="15" t="s">
        <v>26</v>
      </c>
      <c r="G24" s="3"/>
      <c r="H24" s="16">
        <v>45584</v>
      </c>
      <c r="I24" s="17" t="s">
        <v>27</v>
      </c>
      <c r="J24" s="18">
        <f t="shared" ref="J24:J29" si="6">O24/(K24+(L24*1.5)+(M24*2))</f>
        <v>32.428571428571431</v>
      </c>
      <c r="K24" s="3">
        <v>8</v>
      </c>
      <c r="L24" s="3">
        <v>4</v>
      </c>
      <c r="M24" s="3"/>
      <c r="N24" s="22">
        <f t="shared" ref="N24:N29" si="7">SUM(K24:M24)</f>
        <v>12</v>
      </c>
      <c r="O24" s="20">
        <v>454</v>
      </c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 x14ac:dyDescent="0.2">
      <c r="A25" s="24" t="s">
        <v>37</v>
      </c>
      <c r="B25" s="3" t="s">
        <v>62</v>
      </c>
      <c r="C25" s="14">
        <v>90004</v>
      </c>
      <c r="D25" s="3" t="s">
        <v>25</v>
      </c>
      <c r="E25" s="3">
        <v>90001</v>
      </c>
      <c r="F25" s="15" t="s">
        <v>26</v>
      </c>
      <c r="G25" s="3"/>
      <c r="H25" s="16">
        <v>45580</v>
      </c>
      <c r="I25" s="17" t="s">
        <v>27</v>
      </c>
      <c r="J25" s="18">
        <f t="shared" si="6"/>
        <v>30.928571428571427</v>
      </c>
      <c r="K25" s="3">
        <v>8</v>
      </c>
      <c r="L25" s="3">
        <v>4</v>
      </c>
      <c r="M25" s="3"/>
      <c r="N25" s="22">
        <f t="shared" si="7"/>
        <v>12</v>
      </c>
      <c r="O25" s="20">
        <v>433</v>
      </c>
      <c r="P25" s="18"/>
      <c r="Q25" s="18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 x14ac:dyDescent="0.2">
      <c r="A26" s="24" t="s">
        <v>37</v>
      </c>
      <c r="B26" s="3" t="s">
        <v>62</v>
      </c>
      <c r="C26" s="3">
        <v>90004</v>
      </c>
      <c r="D26" s="3" t="s">
        <v>25</v>
      </c>
      <c r="E26" s="3">
        <v>90001</v>
      </c>
      <c r="F26" s="15" t="s">
        <v>26</v>
      </c>
      <c r="G26" s="3"/>
      <c r="H26" s="16">
        <v>45581</v>
      </c>
      <c r="I26" s="17" t="s">
        <v>27</v>
      </c>
      <c r="J26" s="18">
        <f t="shared" si="6"/>
        <v>30.928571428571427</v>
      </c>
      <c r="K26" s="3">
        <v>8</v>
      </c>
      <c r="L26" s="3">
        <v>4</v>
      </c>
      <c r="M26" s="3"/>
      <c r="N26" s="22">
        <f t="shared" si="7"/>
        <v>12</v>
      </c>
      <c r="O26" s="20">
        <v>433</v>
      </c>
      <c r="P26" s="18"/>
      <c r="Q26" s="18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 x14ac:dyDescent="0.2">
      <c r="A27" s="24" t="s">
        <v>37</v>
      </c>
      <c r="B27" s="3" t="s">
        <v>62</v>
      </c>
      <c r="C27" s="14">
        <v>90004</v>
      </c>
      <c r="D27" s="3" t="s">
        <v>25</v>
      </c>
      <c r="E27" s="3">
        <v>90001</v>
      </c>
      <c r="F27" s="15" t="s">
        <v>26</v>
      </c>
      <c r="G27" s="3"/>
      <c r="H27" s="16">
        <v>45582</v>
      </c>
      <c r="I27" s="17" t="s">
        <v>27</v>
      </c>
      <c r="J27" s="18">
        <f t="shared" si="6"/>
        <v>30.928571428571427</v>
      </c>
      <c r="K27" s="3">
        <v>8</v>
      </c>
      <c r="L27" s="3">
        <v>4</v>
      </c>
      <c r="M27" s="3"/>
      <c r="N27" s="22">
        <f t="shared" si="7"/>
        <v>12</v>
      </c>
      <c r="O27" s="20">
        <v>433</v>
      </c>
      <c r="P27" s="18"/>
      <c r="Q27" s="18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 x14ac:dyDescent="0.2">
      <c r="A28" s="24" t="s">
        <v>37</v>
      </c>
      <c r="B28" s="3" t="s">
        <v>62</v>
      </c>
      <c r="C28" s="3">
        <v>90004</v>
      </c>
      <c r="D28" s="3" t="s">
        <v>25</v>
      </c>
      <c r="E28" s="3">
        <v>90001</v>
      </c>
      <c r="F28" s="15" t="s">
        <v>26</v>
      </c>
      <c r="G28" s="3"/>
      <c r="H28" s="16">
        <v>45583</v>
      </c>
      <c r="I28" s="17" t="s">
        <v>27</v>
      </c>
      <c r="J28" s="18">
        <f t="shared" si="6"/>
        <v>30.928571428571427</v>
      </c>
      <c r="K28" s="3">
        <v>8</v>
      </c>
      <c r="L28" s="3">
        <v>4</v>
      </c>
      <c r="M28" s="3"/>
      <c r="N28" s="22">
        <f t="shared" si="7"/>
        <v>12</v>
      </c>
      <c r="O28" s="20">
        <v>433</v>
      </c>
      <c r="P28" s="18"/>
      <c r="Q28" s="18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 x14ac:dyDescent="0.2">
      <c r="A29" s="24" t="s">
        <v>37</v>
      </c>
      <c r="B29" s="3" t="s">
        <v>62</v>
      </c>
      <c r="C29" s="14">
        <v>90004</v>
      </c>
      <c r="D29" s="3" t="s">
        <v>25</v>
      </c>
      <c r="E29" s="3">
        <v>90001</v>
      </c>
      <c r="F29" s="15" t="s">
        <v>26</v>
      </c>
      <c r="G29" s="3"/>
      <c r="H29" s="16">
        <v>45584</v>
      </c>
      <c r="I29" s="17" t="s">
        <v>27</v>
      </c>
      <c r="J29" s="18">
        <f t="shared" si="6"/>
        <v>30.928571428571427</v>
      </c>
      <c r="K29" s="3">
        <v>8</v>
      </c>
      <c r="L29" s="3">
        <v>4</v>
      </c>
      <c r="M29" s="3"/>
      <c r="N29" s="22">
        <f t="shared" si="7"/>
        <v>12</v>
      </c>
      <c r="O29" s="20">
        <v>433</v>
      </c>
      <c r="P29" s="18"/>
      <c r="Q29" s="18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 x14ac:dyDescent="0.2">
      <c r="A30" s="24" t="s">
        <v>38</v>
      </c>
      <c r="B30" s="3" t="s">
        <v>63</v>
      </c>
      <c r="C30" s="3">
        <v>90004</v>
      </c>
      <c r="D30" s="3" t="s">
        <v>25</v>
      </c>
      <c r="E30" s="3">
        <v>90001</v>
      </c>
      <c r="F30" s="15" t="s">
        <v>26</v>
      </c>
      <c r="G30" s="3"/>
      <c r="H30" s="16">
        <v>45582</v>
      </c>
      <c r="I30" s="17" t="s">
        <v>27</v>
      </c>
      <c r="J30" s="18">
        <v>18</v>
      </c>
      <c r="K30" s="3">
        <v>2</v>
      </c>
      <c r="L30" s="3"/>
      <c r="M30" s="3"/>
      <c r="N30" s="3">
        <f>IF(K30+L30+M30 =0,"", K30+L30+M30)</f>
        <v>2</v>
      </c>
      <c r="O30" s="19">
        <f>J30*K30</f>
        <v>36</v>
      </c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 x14ac:dyDescent="0.2">
      <c r="A31" s="24" t="s">
        <v>38</v>
      </c>
      <c r="B31" s="3" t="s">
        <v>63</v>
      </c>
      <c r="C31" s="14">
        <v>90004</v>
      </c>
      <c r="D31" s="3" t="s">
        <v>25</v>
      </c>
      <c r="E31" s="3">
        <v>90001</v>
      </c>
      <c r="F31" s="15" t="s">
        <v>26</v>
      </c>
      <c r="G31" s="3"/>
      <c r="H31" s="16">
        <v>45583</v>
      </c>
      <c r="I31" s="17" t="s">
        <v>27</v>
      </c>
      <c r="J31" s="18">
        <f t="shared" ref="J31:J32" si="8">O31/(K31+(L31*1.5)+(M31*2))</f>
        <v>26.285714285714285</v>
      </c>
      <c r="K31" s="3">
        <v>8</v>
      </c>
      <c r="L31" s="3">
        <v>4</v>
      </c>
      <c r="M31" s="3"/>
      <c r="N31" s="22">
        <f t="shared" ref="N31:N32" si="9">SUM(K31:M31)</f>
        <v>12</v>
      </c>
      <c r="O31" s="20">
        <v>368</v>
      </c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 x14ac:dyDescent="0.2">
      <c r="A32" s="24" t="s">
        <v>38</v>
      </c>
      <c r="B32" s="3" t="s">
        <v>63</v>
      </c>
      <c r="C32" s="3">
        <v>90004</v>
      </c>
      <c r="D32" s="3" t="s">
        <v>25</v>
      </c>
      <c r="E32" s="3">
        <v>90001</v>
      </c>
      <c r="F32" s="15" t="s">
        <v>26</v>
      </c>
      <c r="G32" s="3"/>
      <c r="H32" s="16">
        <v>45584</v>
      </c>
      <c r="I32" s="17" t="s">
        <v>27</v>
      </c>
      <c r="J32" s="18">
        <f t="shared" si="8"/>
        <v>26.285714285714285</v>
      </c>
      <c r="K32" s="3">
        <v>8</v>
      </c>
      <c r="L32" s="3">
        <v>4</v>
      </c>
      <c r="M32" s="3"/>
      <c r="N32" s="22">
        <f t="shared" si="9"/>
        <v>12</v>
      </c>
      <c r="O32" s="20">
        <v>368</v>
      </c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 x14ac:dyDescent="0.2">
      <c r="A33" s="24" t="s">
        <v>38</v>
      </c>
      <c r="B33" s="3" t="s">
        <v>63</v>
      </c>
      <c r="C33" s="14">
        <v>90004</v>
      </c>
      <c r="D33" s="3" t="s">
        <v>25</v>
      </c>
      <c r="E33" s="3">
        <v>90001</v>
      </c>
      <c r="F33" s="15" t="s">
        <v>26</v>
      </c>
      <c r="G33" s="3"/>
      <c r="H33" s="16">
        <v>45582</v>
      </c>
      <c r="I33" s="17" t="s">
        <v>27</v>
      </c>
      <c r="J33" s="18">
        <v>18</v>
      </c>
      <c r="K33" s="3">
        <v>2</v>
      </c>
      <c r="L33" s="3"/>
      <c r="M33" s="3"/>
      <c r="N33" s="3">
        <f>IF(K33+L33+M33 =0,"", K33+L33+M33)</f>
        <v>2</v>
      </c>
      <c r="O33" s="19">
        <f>J33*K33</f>
        <v>36</v>
      </c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 x14ac:dyDescent="0.2">
      <c r="A34" s="24" t="s">
        <v>38</v>
      </c>
      <c r="B34" s="3" t="s">
        <v>63</v>
      </c>
      <c r="C34" s="3">
        <v>90004</v>
      </c>
      <c r="D34" s="3" t="s">
        <v>25</v>
      </c>
      <c r="E34" s="3">
        <v>90001</v>
      </c>
      <c r="F34" s="15" t="s">
        <v>26</v>
      </c>
      <c r="G34" s="3"/>
      <c r="H34" s="16">
        <v>45583</v>
      </c>
      <c r="I34" s="17" t="s">
        <v>27</v>
      </c>
      <c r="J34" s="18">
        <f t="shared" ref="J34:J35" si="10">O34/(K34+(L34*1.5)+(M34*2))</f>
        <v>26.714285714285715</v>
      </c>
      <c r="K34" s="3">
        <v>8</v>
      </c>
      <c r="L34" s="3">
        <v>4</v>
      </c>
      <c r="M34" s="3"/>
      <c r="N34" s="22">
        <f t="shared" ref="N34:N35" si="11">SUM(K34:M34)</f>
        <v>12</v>
      </c>
      <c r="O34" s="20">
        <v>374</v>
      </c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 x14ac:dyDescent="0.2">
      <c r="A35" s="24" t="s">
        <v>38</v>
      </c>
      <c r="B35" s="3" t="s">
        <v>63</v>
      </c>
      <c r="C35" s="14">
        <v>90004</v>
      </c>
      <c r="D35" s="3" t="s">
        <v>25</v>
      </c>
      <c r="E35" s="3">
        <v>90001</v>
      </c>
      <c r="F35" s="15" t="s">
        <v>26</v>
      </c>
      <c r="G35" s="3"/>
      <c r="H35" s="16">
        <v>45584</v>
      </c>
      <c r="I35" s="17" t="s">
        <v>27</v>
      </c>
      <c r="J35" s="18">
        <f t="shared" si="10"/>
        <v>26.714285714285715</v>
      </c>
      <c r="K35" s="3">
        <v>8</v>
      </c>
      <c r="L35" s="3">
        <v>4</v>
      </c>
      <c r="M35" s="3"/>
      <c r="N35" s="22">
        <f t="shared" si="11"/>
        <v>12</v>
      </c>
      <c r="O35" s="20">
        <v>374</v>
      </c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 x14ac:dyDescent="0.2">
      <c r="A36" s="24" t="s">
        <v>38</v>
      </c>
      <c r="B36" s="3" t="s">
        <v>63</v>
      </c>
      <c r="C36" s="3">
        <v>90004</v>
      </c>
      <c r="D36" s="3" t="s">
        <v>25</v>
      </c>
      <c r="E36" s="3">
        <v>90001</v>
      </c>
      <c r="F36" s="15" t="s">
        <v>26</v>
      </c>
      <c r="G36" s="3"/>
      <c r="H36" s="16">
        <v>45583</v>
      </c>
      <c r="I36" s="17" t="s">
        <v>27</v>
      </c>
      <c r="J36" s="18">
        <v>18</v>
      </c>
      <c r="K36" s="3">
        <v>4</v>
      </c>
      <c r="L36" s="3"/>
      <c r="M36" s="3"/>
      <c r="N36" s="3">
        <f>IF(K36+L36+M36 =0,"", K36+L36+M36)</f>
        <v>4</v>
      </c>
      <c r="O36" s="19">
        <f>J36*K36</f>
        <v>72</v>
      </c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 x14ac:dyDescent="0.2">
      <c r="A37" s="24" t="s">
        <v>39</v>
      </c>
      <c r="B37" s="3" t="s">
        <v>64</v>
      </c>
      <c r="C37" s="14">
        <v>90004</v>
      </c>
      <c r="D37" s="3" t="s">
        <v>25</v>
      </c>
      <c r="E37" s="3">
        <v>90001</v>
      </c>
      <c r="F37" s="15" t="s">
        <v>26</v>
      </c>
      <c r="G37" s="3"/>
      <c r="H37" s="16">
        <v>45584</v>
      </c>
      <c r="I37" s="17" t="s">
        <v>27</v>
      </c>
      <c r="J37" s="18">
        <f>O37/(K37+(L37*1.5)+(M37*2))</f>
        <v>27.571428571428573</v>
      </c>
      <c r="K37" s="3">
        <v>8</v>
      </c>
      <c r="L37" s="3">
        <v>4</v>
      </c>
      <c r="M37" s="3"/>
      <c r="N37" s="22">
        <f>SUM(K37:M37)</f>
        <v>12</v>
      </c>
      <c r="O37" s="20">
        <v>386</v>
      </c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 x14ac:dyDescent="0.2">
      <c r="A38" s="24" t="s">
        <v>39</v>
      </c>
      <c r="B38" s="3" t="s">
        <v>64</v>
      </c>
      <c r="C38" s="3">
        <v>90004</v>
      </c>
      <c r="D38" s="3" t="s">
        <v>25</v>
      </c>
      <c r="E38" s="3">
        <v>90001</v>
      </c>
      <c r="F38" s="15" t="s">
        <v>26</v>
      </c>
      <c r="G38" s="3"/>
      <c r="H38" s="16">
        <v>45582</v>
      </c>
      <c r="I38" s="17" t="s">
        <v>27</v>
      </c>
      <c r="J38" s="18">
        <v>18</v>
      </c>
      <c r="K38" s="3">
        <v>2</v>
      </c>
      <c r="L38" s="3"/>
      <c r="M38" s="3"/>
      <c r="N38" s="3">
        <f>IF(K38+L38+M38 =0,"", K38+L38+M38)</f>
        <v>2</v>
      </c>
      <c r="O38" s="19">
        <v>36</v>
      </c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 x14ac:dyDescent="0.2">
      <c r="A39" s="24" t="s">
        <v>39</v>
      </c>
      <c r="B39" s="3" t="s">
        <v>64</v>
      </c>
      <c r="C39" s="14">
        <v>90004</v>
      </c>
      <c r="D39" s="3" t="s">
        <v>25</v>
      </c>
      <c r="E39" s="3">
        <v>90001</v>
      </c>
      <c r="F39" s="15" t="s">
        <v>26</v>
      </c>
      <c r="G39" s="3"/>
      <c r="H39" s="16">
        <v>45583</v>
      </c>
      <c r="I39" s="17" t="s">
        <v>27</v>
      </c>
      <c r="J39" s="18">
        <f t="shared" ref="J39:J40" si="12">O39/(K39+(L39*1.5)+(M39*2))</f>
        <v>30.857142857142858</v>
      </c>
      <c r="K39" s="3">
        <v>8</v>
      </c>
      <c r="L39" s="3">
        <v>4</v>
      </c>
      <c r="M39" s="3"/>
      <c r="N39" s="22">
        <f t="shared" ref="N39:N40" si="13">SUM(K39:M39)</f>
        <v>12</v>
      </c>
      <c r="O39" s="20">
        <v>432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 x14ac:dyDescent="0.2">
      <c r="A40" s="24" t="s">
        <v>39</v>
      </c>
      <c r="B40" s="3" t="s">
        <v>64</v>
      </c>
      <c r="C40" s="3">
        <v>90004</v>
      </c>
      <c r="D40" s="3" t="s">
        <v>25</v>
      </c>
      <c r="E40" s="3">
        <v>90001</v>
      </c>
      <c r="F40" s="15" t="s">
        <v>26</v>
      </c>
      <c r="G40" s="3"/>
      <c r="H40" s="16">
        <v>45584</v>
      </c>
      <c r="I40" s="17" t="s">
        <v>27</v>
      </c>
      <c r="J40" s="18">
        <f t="shared" si="12"/>
        <v>30.857142857142858</v>
      </c>
      <c r="K40" s="3">
        <v>8</v>
      </c>
      <c r="L40" s="3">
        <v>4</v>
      </c>
      <c r="M40" s="3"/>
      <c r="N40" s="22">
        <f t="shared" si="13"/>
        <v>12</v>
      </c>
      <c r="O40" s="20">
        <v>432</v>
      </c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 x14ac:dyDescent="0.2">
      <c r="A41" s="24" t="s">
        <v>39</v>
      </c>
      <c r="B41" s="3" t="s">
        <v>64</v>
      </c>
      <c r="C41" s="14">
        <v>90004</v>
      </c>
      <c r="D41" s="3" t="s">
        <v>25</v>
      </c>
      <c r="E41" s="3">
        <v>90001</v>
      </c>
      <c r="F41" s="15" t="s">
        <v>26</v>
      </c>
      <c r="G41" s="3"/>
      <c r="H41" s="16">
        <v>45582</v>
      </c>
      <c r="I41" s="17" t="s">
        <v>27</v>
      </c>
      <c r="J41" s="18">
        <v>18</v>
      </c>
      <c r="K41" s="3">
        <v>3</v>
      </c>
      <c r="L41" s="3"/>
      <c r="M41" s="3"/>
      <c r="N41" s="3">
        <f t="shared" ref="N41:N44" si="14">IF(K41+L41+M41 =0,"", K41+L41+M41)</f>
        <v>3</v>
      </c>
      <c r="O41" s="19">
        <f>J41*K41</f>
        <v>54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 x14ac:dyDescent="0.2">
      <c r="A42" s="24" t="s">
        <v>39</v>
      </c>
      <c r="B42" s="3" t="s">
        <v>64</v>
      </c>
      <c r="C42" s="3">
        <v>90004</v>
      </c>
      <c r="D42" s="3" t="s">
        <v>25</v>
      </c>
      <c r="E42" s="3">
        <v>90001</v>
      </c>
      <c r="F42" s="15" t="s">
        <v>26</v>
      </c>
      <c r="G42" s="3"/>
      <c r="H42" s="16">
        <v>45583</v>
      </c>
      <c r="I42" s="17" t="s">
        <v>27</v>
      </c>
      <c r="J42" s="18">
        <f t="shared" ref="J42:J43" si="15">O42/(K42+(L42*1.5)+(M42*2))</f>
        <v>29.428571428571427</v>
      </c>
      <c r="K42" s="3">
        <v>8</v>
      </c>
      <c r="L42" s="3">
        <v>4</v>
      </c>
      <c r="M42" s="3"/>
      <c r="N42" s="3">
        <f t="shared" si="14"/>
        <v>12</v>
      </c>
      <c r="O42" s="20">
        <v>412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 x14ac:dyDescent="0.2">
      <c r="A43" s="24" t="s">
        <v>39</v>
      </c>
      <c r="B43" s="3" t="s">
        <v>64</v>
      </c>
      <c r="C43" s="14">
        <v>90004</v>
      </c>
      <c r="D43" s="3" t="s">
        <v>25</v>
      </c>
      <c r="E43" s="3">
        <v>90001</v>
      </c>
      <c r="F43" s="15" t="s">
        <v>26</v>
      </c>
      <c r="G43" s="3"/>
      <c r="H43" s="16">
        <v>45584</v>
      </c>
      <c r="I43" s="17" t="s">
        <v>27</v>
      </c>
      <c r="J43" s="18">
        <f t="shared" si="15"/>
        <v>29.428571428571427</v>
      </c>
      <c r="K43" s="3">
        <v>8</v>
      </c>
      <c r="L43" s="3">
        <v>4</v>
      </c>
      <c r="M43" s="3"/>
      <c r="N43" s="3">
        <f t="shared" si="14"/>
        <v>12</v>
      </c>
      <c r="O43" s="20">
        <v>412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 x14ac:dyDescent="0.2">
      <c r="A44" s="1" t="s">
        <v>40</v>
      </c>
      <c r="B44" s="3" t="s">
        <v>65</v>
      </c>
      <c r="C44" s="3">
        <v>90004</v>
      </c>
      <c r="D44" s="3" t="s">
        <v>25</v>
      </c>
      <c r="E44" s="3">
        <v>90001</v>
      </c>
      <c r="F44" s="15" t="s">
        <v>26</v>
      </c>
      <c r="G44" s="3"/>
      <c r="H44" s="16">
        <v>45583</v>
      </c>
      <c r="I44" s="17" t="s">
        <v>27</v>
      </c>
      <c r="J44" s="18">
        <v>18</v>
      </c>
      <c r="K44" s="3">
        <v>4</v>
      </c>
      <c r="L44" s="3"/>
      <c r="M44" s="3"/>
      <c r="N44" s="3">
        <f t="shared" si="14"/>
        <v>4</v>
      </c>
      <c r="O44" s="19">
        <f>K44*J44</f>
        <v>72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 x14ac:dyDescent="0.2">
      <c r="A45" s="1" t="s">
        <v>40</v>
      </c>
      <c r="B45" s="3" t="s">
        <v>65</v>
      </c>
      <c r="C45" s="14">
        <v>90004</v>
      </c>
      <c r="D45" s="3" t="s">
        <v>25</v>
      </c>
      <c r="E45" s="3">
        <v>90001</v>
      </c>
      <c r="F45" s="15" t="s">
        <v>26</v>
      </c>
      <c r="G45" s="3"/>
      <c r="H45" s="16">
        <v>45584</v>
      </c>
      <c r="I45" s="17" t="s">
        <v>27</v>
      </c>
      <c r="J45" s="18">
        <f>O45/(K45+(L45*1.5)+(M45*2))</f>
        <v>27.25</v>
      </c>
      <c r="K45" s="3">
        <v>8</v>
      </c>
      <c r="L45" s="3">
        <v>4</v>
      </c>
      <c r="M45" s="3"/>
      <c r="N45" s="22">
        <f>SUM(K45:M45)</f>
        <v>12</v>
      </c>
      <c r="O45" s="20">
        <v>381.5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 x14ac:dyDescent="0.2">
      <c r="A46" s="1" t="s">
        <v>40</v>
      </c>
      <c r="B46" s="3" t="s">
        <v>65</v>
      </c>
      <c r="C46" s="3">
        <v>90004</v>
      </c>
      <c r="D46" s="3" t="s">
        <v>25</v>
      </c>
      <c r="E46" s="3">
        <v>90001</v>
      </c>
      <c r="F46" s="15" t="s">
        <v>26</v>
      </c>
      <c r="G46" s="3"/>
      <c r="H46" s="16">
        <v>45583</v>
      </c>
      <c r="I46" s="17" t="s">
        <v>27</v>
      </c>
      <c r="J46" s="18">
        <v>18</v>
      </c>
      <c r="K46" s="3">
        <v>2</v>
      </c>
      <c r="L46" s="3"/>
      <c r="M46" s="3"/>
      <c r="N46" s="3">
        <f>IF(K46+L46+M46 =0,"", K46+L46+M46)</f>
        <v>2</v>
      </c>
      <c r="O46" s="19">
        <v>36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 x14ac:dyDescent="0.2">
      <c r="A47" s="1" t="s">
        <v>40</v>
      </c>
      <c r="B47" s="3" t="s">
        <v>65</v>
      </c>
      <c r="C47" s="14">
        <v>90004</v>
      </c>
      <c r="D47" s="3" t="s">
        <v>25</v>
      </c>
      <c r="E47" s="3">
        <v>90001</v>
      </c>
      <c r="F47" s="15" t="s">
        <v>26</v>
      </c>
      <c r="G47" s="3"/>
      <c r="H47" s="16">
        <v>45584</v>
      </c>
      <c r="I47" s="17" t="s">
        <v>27</v>
      </c>
      <c r="J47" s="18">
        <f>O47/(K47+(L47*1.5)+(M47*2))</f>
        <v>27.732142857142858</v>
      </c>
      <c r="K47" s="3">
        <v>8</v>
      </c>
      <c r="L47" s="3">
        <v>4</v>
      </c>
      <c r="M47" s="3"/>
      <c r="N47" s="22">
        <f>SUM(K47:M47)</f>
        <v>12</v>
      </c>
      <c r="O47" s="20">
        <v>388.25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 x14ac:dyDescent="0.2">
      <c r="A48" s="1" t="s">
        <v>41</v>
      </c>
      <c r="B48" s="3" t="s">
        <v>66</v>
      </c>
      <c r="C48" s="3">
        <v>90004</v>
      </c>
      <c r="D48" s="3" t="s">
        <v>25</v>
      </c>
      <c r="E48" s="3">
        <v>90001</v>
      </c>
      <c r="F48" s="15" t="s">
        <v>26</v>
      </c>
      <c r="G48" s="3"/>
      <c r="H48" s="16">
        <v>45583</v>
      </c>
      <c r="I48" s="17" t="s">
        <v>27</v>
      </c>
      <c r="J48" s="18">
        <v>18</v>
      </c>
      <c r="K48" s="3">
        <v>3</v>
      </c>
      <c r="L48" s="3"/>
      <c r="M48" s="3"/>
      <c r="N48" s="3">
        <f>IF(K48+L48+M48 =0,"", K48+L48+M48)</f>
        <v>3</v>
      </c>
      <c r="O48" s="19">
        <f>J48*K48</f>
        <v>54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 x14ac:dyDescent="0.2">
      <c r="A49" s="1" t="s">
        <v>41</v>
      </c>
      <c r="B49" s="3" t="s">
        <v>66</v>
      </c>
      <c r="C49" s="14">
        <v>90004</v>
      </c>
      <c r="D49" s="3" t="s">
        <v>25</v>
      </c>
      <c r="E49" s="3">
        <v>90001</v>
      </c>
      <c r="F49" s="15" t="s">
        <v>26</v>
      </c>
      <c r="G49" s="3"/>
      <c r="H49" s="16">
        <v>45584</v>
      </c>
      <c r="I49" s="17" t="s">
        <v>27</v>
      </c>
      <c r="J49" s="18">
        <f t="shared" ref="J49:J52" si="16">O49/(K49+(L49*1.5)+(M49*2))</f>
        <v>27.571428571428573</v>
      </c>
      <c r="K49" s="3">
        <v>8</v>
      </c>
      <c r="L49" s="3">
        <v>4</v>
      </c>
      <c r="M49" s="3"/>
      <c r="N49" s="22">
        <f t="shared" ref="N49:N52" si="17">SUM(K49:M49)</f>
        <v>12</v>
      </c>
      <c r="O49" s="20">
        <v>386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 x14ac:dyDescent="0.2">
      <c r="A50" s="1" t="s">
        <v>41</v>
      </c>
      <c r="B50" s="3" t="s">
        <v>66</v>
      </c>
      <c r="C50" s="3">
        <v>90004</v>
      </c>
      <c r="D50" s="3" t="s">
        <v>25</v>
      </c>
      <c r="E50" s="3">
        <v>90001</v>
      </c>
      <c r="F50" s="15" t="s">
        <v>26</v>
      </c>
      <c r="G50" s="3"/>
      <c r="H50" s="16">
        <v>45582</v>
      </c>
      <c r="I50" s="17" t="s">
        <v>27</v>
      </c>
      <c r="J50" s="18">
        <f t="shared" si="16"/>
        <v>26.285714285714285</v>
      </c>
      <c r="K50" s="3">
        <v>8</v>
      </c>
      <c r="L50" s="3">
        <v>4</v>
      </c>
      <c r="M50" s="3"/>
      <c r="N50" s="22">
        <f t="shared" si="17"/>
        <v>12</v>
      </c>
      <c r="O50" s="20">
        <v>368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 x14ac:dyDescent="0.2">
      <c r="A51" s="1" t="s">
        <v>41</v>
      </c>
      <c r="B51" s="3" t="s">
        <v>66</v>
      </c>
      <c r="C51" s="14">
        <v>90004</v>
      </c>
      <c r="D51" s="3" t="s">
        <v>25</v>
      </c>
      <c r="E51" s="3">
        <v>90001</v>
      </c>
      <c r="F51" s="15" t="s">
        <v>26</v>
      </c>
      <c r="G51" s="3"/>
      <c r="H51" s="16">
        <v>45583</v>
      </c>
      <c r="I51" s="17" t="s">
        <v>27</v>
      </c>
      <c r="J51" s="18">
        <f t="shared" si="16"/>
        <v>26.285714285714285</v>
      </c>
      <c r="K51" s="3">
        <v>8</v>
      </c>
      <c r="L51" s="3">
        <v>4</v>
      </c>
      <c r="M51" s="3"/>
      <c r="N51" s="22">
        <f t="shared" si="17"/>
        <v>12</v>
      </c>
      <c r="O51" s="20">
        <v>368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customHeight="1" x14ac:dyDescent="0.2">
      <c r="A52" s="1" t="s">
        <v>41</v>
      </c>
      <c r="B52" s="3" t="s">
        <v>66</v>
      </c>
      <c r="C52" s="3">
        <v>90004</v>
      </c>
      <c r="D52" s="3" t="s">
        <v>25</v>
      </c>
      <c r="E52" s="3">
        <v>90001</v>
      </c>
      <c r="F52" s="15" t="s">
        <v>26</v>
      </c>
      <c r="G52" s="3"/>
      <c r="H52" s="16">
        <v>45584</v>
      </c>
      <c r="I52" s="17" t="s">
        <v>27</v>
      </c>
      <c r="J52" s="18">
        <f t="shared" si="16"/>
        <v>26.285714285714285</v>
      </c>
      <c r="K52" s="3">
        <v>8</v>
      </c>
      <c r="L52" s="3">
        <v>4</v>
      </c>
      <c r="M52" s="3"/>
      <c r="N52" s="22">
        <f t="shared" si="17"/>
        <v>12</v>
      </c>
      <c r="O52" s="20">
        <v>368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 x14ac:dyDescent="0.2">
      <c r="A53" s="1" t="s">
        <v>41</v>
      </c>
      <c r="B53" s="3" t="s">
        <v>66</v>
      </c>
      <c r="C53" s="14">
        <v>90004</v>
      </c>
      <c r="D53" s="3" t="s">
        <v>25</v>
      </c>
      <c r="E53" s="3">
        <v>90001</v>
      </c>
      <c r="F53" s="15" t="s">
        <v>26</v>
      </c>
      <c r="G53" s="3"/>
      <c r="H53" s="16">
        <v>45583</v>
      </c>
      <c r="I53" s="17" t="s">
        <v>27</v>
      </c>
      <c r="J53" s="18">
        <v>18</v>
      </c>
      <c r="K53" s="3">
        <v>2</v>
      </c>
      <c r="L53" s="3"/>
      <c r="M53" s="3"/>
      <c r="N53" s="3">
        <f>IF(K53+L53+M53 =0,"", K53+L53+M53)</f>
        <v>2</v>
      </c>
      <c r="O53" s="19">
        <v>36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 x14ac:dyDescent="0.2">
      <c r="A54" s="1" t="s">
        <v>41</v>
      </c>
      <c r="B54" s="3" t="s">
        <v>66</v>
      </c>
      <c r="C54" s="3">
        <v>90004</v>
      </c>
      <c r="D54" s="3" t="s">
        <v>25</v>
      </c>
      <c r="E54" s="3">
        <v>90001</v>
      </c>
      <c r="F54" s="15" t="s">
        <v>26</v>
      </c>
      <c r="G54" s="3"/>
      <c r="H54" s="16">
        <v>45584</v>
      </c>
      <c r="I54" s="17" t="s">
        <v>27</v>
      </c>
      <c r="J54" s="18">
        <f>O54/(K54+(L54*1.5)+(M54*2))</f>
        <v>28.696428571428573</v>
      </c>
      <c r="K54" s="3">
        <v>8</v>
      </c>
      <c r="L54" s="3">
        <v>4</v>
      </c>
      <c r="M54" s="3"/>
      <c r="N54" s="22">
        <f>SUM(K54:M54)</f>
        <v>12</v>
      </c>
      <c r="O54" s="20">
        <v>401.75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 x14ac:dyDescent="0.2">
      <c r="A55" s="1" t="s">
        <v>41</v>
      </c>
      <c r="B55" s="3" t="s">
        <v>66</v>
      </c>
      <c r="C55" s="14">
        <v>90004</v>
      </c>
      <c r="D55" s="3" t="s">
        <v>25</v>
      </c>
      <c r="E55" s="3">
        <v>90001</v>
      </c>
      <c r="F55" s="15" t="s">
        <v>26</v>
      </c>
      <c r="G55" s="3"/>
      <c r="H55" s="16">
        <v>45583</v>
      </c>
      <c r="I55" s="17" t="s">
        <v>27</v>
      </c>
      <c r="J55" s="18">
        <v>18</v>
      </c>
      <c r="K55" s="3">
        <v>3</v>
      </c>
      <c r="L55" s="3"/>
      <c r="M55" s="3"/>
      <c r="N55" s="3">
        <f>IF(K55+L55+M55 =0,"", K55+L55+M55)</f>
        <v>3</v>
      </c>
      <c r="O55" s="19">
        <f>J55*K55</f>
        <v>54</v>
      </c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customHeight="1" x14ac:dyDescent="0.2">
      <c r="A56" s="1" t="s">
        <v>41</v>
      </c>
      <c r="B56" s="3" t="s">
        <v>66</v>
      </c>
      <c r="C56" s="3">
        <v>90004</v>
      </c>
      <c r="D56" s="3" t="s">
        <v>25</v>
      </c>
      <c r="E56" s="3">
        <v>90001</v>
      </c>
      <c r="F56" s="15" t="s">
        <v>26</v>
      </c>
      <c r="G56" s="3"/>
      <c r="H56" s="16">
        <v>45584</v>
      </c>
      <c r="I56" s="17" t="s">
        <v>27</v>
      </c>
      <c r="J56" s="18">
        <f>O56/(K56+(L56*1.5)+(M56*2))</f>
        <v>27.25</v>
      </c>
      <c r="K56" s="3">
        <v>8</v>
      </c>
      <c r="L56" s="3">
        <v>4</v>
      </c>
      <c r="M56" s="3"/>
      <c r="N56" s="22">
        <f>SUM(K56:M56)</f>
        <v>12</v>
      </c>
      <c r="O56" s="20">
        <v>381.5</v>
      </c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 x14ac:dyDescent="0.2">
      <c r="A57" s="1" t="s">
        <v>41</v>
      </c>
      <c r="B57" s="3" t="s">
        <v>66</v>
      </c>
      <c r="C57" s="14">
        <v>90004</v>
      </c>
      <c r="D57" s="3" t="s">
        <v>25</v>
      </c>
      <c r="E57" s="3">
        <v>90001</v>
      </c>
      <c r="F57" s="15" t="s">
        <v>26</v>
      </c>
      <c r="G57" s="3"/>
      <c r="H57" s="16">
        <v>45583</v>
      </c>
      <c r="I57" s="17" t="s">
        <v>27</v>
      </c>
      <c r="J57" s="18">
        <v>18</v>
      </c>
      <c r="K57" s="3">
        <v>2</v>
      </c>
      <c r="L57" s="3"/>
      <c r="M57" s="3"/>
      <c r="N57" s="3">
        <f>IF(K57+L57+M57 =0,"", K57+L57+M57)</f>
        <v>2</v>
      </c>
      <c r="O57" s="19">
        <v>36</v>
      </c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 x14ac:dyDescent="0.2">
      <c r="A58" s="1" t="s">
        <v>41</v>
      </c>
      <c r="B58" s="3" t="s">
        <v>66</v>
      </c>
      <c r="C58" s="3">
        <v>90004</v>
      </c>
      <c r="D58" s="3" t="s">
        <v>25</v>
      </c>
      <c r="E58" s="3">
        <v>90001</v>
      </c>
      <c r="F58" s="15" t="s">
        <v>26</v>
      </c>
      <c r="G58" s="3"/>
      <c r="H58" s="16">
        <v>45584</v>
      </c>
      <c r="I58" s="17" t="s">
        <v>27</v>
      </c>
      <c r="J58" s="18">
        <f>O58/(K58+(L58*1.5)+(M58*2))</f>
        <v>28.535714285714285</v>
      </c>
      <c r="K58" s="3">
        <v>8</v>
      </c>
      <c r="L58" s="3">
        <v>4</v>
      </c>
      <c r="M58" s="3"/>
      <c r="N58" s="22">
        <f>SUM(K58:M58)</f>
        <v>12</v>
      </c>
      <c r="O58" s="20">
        <v>399.5</v>
      </c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 x14ac:dyDescent="0.2">
      <c r="A59" s="1" t="s">
        <v>42</v>
      </c>
      <c r="B59" s="3" t="s">
        <v>67</v>
      </c>
      <c r="C59" s="14">
        <v>90004</v>
      </c>
      <c r="D59" s="3" t="s">
        <v>25</v>
      </c>
      <c r="E59" s="3">
        <v>90001</v>
      </c>
      <c r="F59" s="15" t="s">
        <v>26</v>
      </c>
      <c r="G59" s="3"/>
      <c r="H59" s="16">
        <v>45583</v>
      </c>
      <c r="I59" s="17" t="s">
        <v>27</v>
      </c>
      <c r="J59" s="18">
        <v>18</v>
      </c>
      <c r="K59" s="3">
        <v>2</v>
      </c>
      <c r="L59" s="3"/>
      <c r="M59" s="3"/>
      <c r="N59" s="3">
        <f>IF(K59+L59+M59 =0,"", K59+L59+M59)</f>
        <v>2</v>
      </c>
      <c r="O59" s="19">
        <v>36</v>
      </c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 x14ac:dyDescent="0.2">
      <c r="A60" s="1" t="s">
        <v>42</v>
      </c>
      <c r="B60" s="3" t="s">
        <v>67</v>
      </c>
      <c r="C60" s="3">
        <v>90004</v>
      </c>
      <c r="D60" s="3" t="s">
        <v>25</v>
      </c>
      <c r="E60" s="3">
        <v>90001</v>
      </c>
      <c r="F60" s="15" t="s">
        <v>26</v>
      </c>
      <c r="G60" s="3"/>
      <c r="H60" s="16">
        <v>45584</v>
      </c>
      <c r="I60" s="17" t="s">
        <v>27</v>
      </c>
      <c r="J60" s="18">
        <f>O60/(K60+(L60*1.5)+(M60*2))</f>
        <v>32.428571428571431</v>
      </c>
      <c r="K60" s="3">
        <v>8</v>
      </c>
      <c r="L60" s="3">
        <v>4</v>
      </c>
      <c r="M60" s="3"/>
      <c r="N60" s="22">
        <f>SUM(K60:M60)</f>
        <v>12</v>
      </c>
      <c r="O60" s="20">
        <v>454</v>
      </c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 x14ac:dyDescent="0.2">
      <c r="A61" s="1" t="s">
        <v>42</v>
      </c>
      <c r="B61" s="3" t="s">
        <v>67</v>
      </c>
      <c r="C61" s="14">
        <v>90004</v>
      </c>
      <c r="D61" s="3" t="s">
        <v>25</v>
      </c>
      <c r="E61" s="3">
        <v>90001</v>
      </c>
      <c r="F61" s="15" t="s">
        <v>26</v>
      </c>
      <c r="G61" s="3"/>
      <c r="H61" s="16">
        <v>45583</v>
      </c>
      <c r="I61" s="17" t="s">
        <v>27</v>
      </c>
      <c r="J61" s="18">
        <v>18</v>
      </c>
      <c r="K61" s="3">
        <v>2</v>
      </c>
      <c r="L61" s="3"/>
      <c r="M61" s="3"/>
      <c r="N61" s="3">
        <f>IF(K61+L61+M61 =0,"", K61+L61+M61)</f>
        <v>2</v>
      </c>
      <c r="O61" s="19">
        <v>36</v>
      </c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 x14ac:dyDescent="0.2">
      <c r="A62" s="1" t="s">
        <v>42</v>
      </c>
      <c r="B62" s="3" t="s">
        <v>67</v>
      </c>
      <c r="C62" s="3">
        <v>90004</v>
      </c>
      <c r="D62" s="3" t="s">
        <v>25</v>
      </c>
      <c r="E62" s="3">
        <v>90001</v>
      </c>
      <c r="F62" s="15" t="s">
        <v>26</v>
      </c>
      <c r="G62" s="3"/>
      <c r="H62" s="16">
        <v>45584</v>
      </c>
      <c r="I62" s="17" t="s">
        <v>27</v>
      </c>
      <c r="J62" s="18">
        <f>O62/(K62+(L62*1.5)+(M62*2))</f>
        <v>31.607142857142858</v>
      </c>
      <c r="K62" s="3">
        <v>8</v>
      </c>
      <c r="L62" s="3">
        <v>4</v>
      </c>
      <c r="M62" s="3"/>
      <c r="N62" s="22">
        <f>SUM(K62:M62)</f>
        <v>12</v>
      </c>
      <c r="O62" s="20">
        <v>442.5</v>
      </c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 x14ac:dyDescent="0.2">
      <c r="A63" s="1" t="s">
        <v>42</v>
      </c>
      <c r="B63" s="3" t="s">
        <v>67</v>
      </c>
      <c r="C63" s="14">
        <v>90004</v>
      </c>
      <c r="D63" s="3" t="s">
        <v>25</v>
      </c>
      <c r="E63" s="3">
        <v>90001</v>
      </c>
      <c r="F63" s="15" t="s">
        <v>26</v>
      </c>
      <c r="G63" s="3"/>
      <c r="H63" s="16">
        <v>45583</v>
      </c>
      <c r="I63" s="17" t="s">
        <v>27</v>
      </c>
      <c r="J63" s="18">
        <v>18</v>
      </c>
      <c r="K63" s="3">
        <v>2</v>
      </c>
      <c r="L63" s="3"/>
      <c r="M63" s="3"/>
      <c r="N63" s="3">
        <f>IF(K63+L63+M63 =0,"", K63+L63+M63)</f>
        <v>2</v>
      </c>
      <c r="O63" s="19">
        <f>J63*K63</f>
        <v>36</v>
      </c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 x14ac:dyDescent="0.2">
      <c r="A64" s="1" t="s">
        <v>42</v>
      </c>
      <c r="B64" s="3" t="s">
        <v>67</v>
      </c>
      <c r="C64" s="3">
        <v>90004</v>
      </c>
      <c r="D64" s="3" t="s">
        <v>25</v>
      </c>
      <c r="E64" s="3">
        <v>90001</v>
      </c>
      <c r="F64" s="15" t="s">
        <v>26</v>
      </c>
      <c r="G64" s="3"/>
      <c r="H64" s="16">
        <v>45584</v>
      </c>
      <c r="I64" s="17" t="s">
        <v>27</v>
      </c>
      <c r="J64" s="18">
        <f>O64/(K64+(L64*1.5)+(M64*2))</f>
        <v>32.732142857142854</v>
      </c>
      <c r="K64" s="3">
        <v>8</v>
      </c>
      <c r="L64" s="3">
        <v>4</v>
      </c>
      <c r="M64" s="3"/>
      <c r="N64" s="22">
        <f>SUM(K64:M64)</f>
        <v>12</v>
      </c>
      <c r="O64" s="20">
        <v>458.25</v>
      </c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 x14ac:dyDescent="0.2">
      <c r="A65" s="1" t="s">
        <v>43</v>
      </c>
      <c r="B65" s="3" t="s">
        <v>68</v>
      </c>
      <c r="C65" s="14">
        <v>90004</v>
      </c>
      <c r="D65" s="3" t="s">
        <v>25</v>
      </c>
      <c r="E65" s="3">
        <v>90001</v>
      </c>
      <c r="F65" s="15" t="s">
        <v>26</v>
      </c>
      <c r="G65" s="3"/>
      <c r="H65" s="16">
        <v>45582</v>
      </c>
      <c r="I65" s="17" t="s">
        <v>27</v>
      </c>
      <c r="J65" s="18">
        <v>18</v>
      </c>
      <c r="K65" s="3">
        <v>3</v>
      </c>
      <c r="L65" s="3"/>
      <c r="M65" s="3"/>
      <c r="N65" s="3">
        <f>IF(K65+L65+M65 =0,"", K65+L65+M65)</f>
        <v>3</v>
      </c>
      <c r="O65" s="19">
        <f>J65*K65</f>
        <v>54</v>
      </c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 x14ac:dyDescent="0.2">
      <c r="A66" s="1" t="s">
        <v>43</v>
      </c>
      <c r="B66" s="3" t="s">
        <v>68</v>
      </c>
      <c r="C66" s="3">
        <v>90004</v>
      </c>
      <c r="D66" s="3" t="s">
        <v>25</v>
      </c>
      <c r="E66" s="3">
        <v>90001</v>
      </c>
      <c r="F66" s="15" t="s">
        <v>26</v>
      </c>
      <c r="G66" s="3"/>
      <c r="H66" s="16">
        <v>45583</v>
      </c>
      <c r="I66" s="17" t="s">
        <v>27</v>
      </c>
      <c r="J66" s="18">
        <f t="shared" ref="J66:J73" si="18">O66/(K66+(L66*1.5)+(M66*2))</f>
        <v>28.571428571428573</v>
      </c>
      <c r="K66" s="3">
        <v>8</v>
      </c>
      <c r="L66" s="3">
        <v>4</v>
      </c>
      <c r="M66" s="3"/>
      <c r="N66" s="22">
        <f t="shared" ref="N66:N73" si="19">SUM(K66:M66)</f>
        <v>12</v>
      </c>
      <c r="O66" s="19">
        <v>400</v>
      </c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 x14ac:dyDescent="0.2">
      <c r="A67" s="1" t="s">
        <v>43</v>
      </c>
      <c r="B67" s="3" t="s">
        <v>68</v>
      </c>
      <c r="C67" s="14">
        <v>90004</v>
      </c>
      <c r="D67" s="3" t="s">
        <v>25</v>
      </c>
      <c r="E67" s="3">
        <v>90001</v>
      </c>
      <c r="F67" s="15" t="s">
        <v>26</v>
      </c>
      <c r="G67" s="3"/>
      <c r="H67" s="16">
        <v>45584</v>
      </c>
      <c r="I67" s="17" t="s">
        <v>27</v>
      </c>
      <c r="J67" s="18">
        <f t="shared" si="18"/>
        <v>28.571428571428573</v>
      </c>
      <c r="K67" s="3">
        <v>8</v>
      </c>
      <c r="L67" s="3">
        <v>4</v>
      </c>
      <c r="M67" s="3"/>
      <c r="N67" s="22">
        <f t="shared" si="19"/>
        <v>12</v>
      </c>
      <c r="O67" s="19">
        <v>400</v>
      </c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 x14ac:dyDescent="0.2">
      <c r="A68" s="1" t="s">
        <v>44</v>
      </c>
      <c r="B68" s="3" t="s">
        <v>69</v>
      </c>
      <c r="C68" s="3">
        <v>90004</v>
      </c>
      <c r="D68" s="3" t="s">
        <v>25</v>
      </c>
      <c r="E68" s="3">
        <v>90001</v>
      </c>
      <c r="F68" s="15" t="s">
        <v>26</v>
      </c>
      <c r="G68" s="3"/>
      <c r="H68" s="16">
        <v>45583</v>
      </c>
      <c r="I68" s="17" t="s">
        <v>27</v>
      </c>
      <c r="J68" s="18">
        <f t="shared" si="18"/>
        <v>31.571428571428573</v>
      </c>
      <c r="K68" s="3">
        <v>8</v>
      </c>
      <c r="L68" s="3">
        <v>4</v>
      </c>
      <c r="M68" s="3"/>
      <c r="N68" s="22">
        <f t="shared" si="19"/>
        <v>12</v>
      </c>
      <c r="O68" s="20">
        <v>442</v>
      </c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 x14ac:dyDescent="0.2">
      <c r="A69" s="1" t="s">
        <v>44</v>
      </c>
      <c r="B69" s="28" t="s">
        <v>69</v>
      </c>
      <c r="C69" s="14">
        <v>90004</v>
      </c>
      <c r="D69" s="3" t="s">
        <v>25</v>
      </c>
      <c r="E69" s="3">
        <v>90001</v>
      </c>
      <c r="F69" s="15" t="s">
        <v>26</v>
      </c>
      <c r="G69" s="3"/>
      <c r="H69" s="16">
        <v>45584</v>
      </c>
      <c r="I69" s="17" t="s">
        <v>27</v>
      </c>
      <c r="J69" s="18">
        <f t="shared" si="18"/>
        <v>31.571428571428573</v>
      </c>
      <c r="K69" s="3">
        <v>8</v>
      </c>
      <c r="L69" s="3">
        <v>4</v>
      </c>
      <c r="M69" s="3"/>
      <c r="N69" s="22">
        <f t="shared" si="19"/>
        <v>12</v>
      </c>
      <c r="O69" s="20">
        <v>442</v>
      </c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 x14ac:dyDescent="0.2">
      <c r="A70" s="1" t="s">
        <v>44</v>
      </c>
      <c r="B70" s="3" t="s">
        <v>69</v>
      </c>
      <c r="C70" s="3">
        <v>90004</v>
      </c>
      <c r="D70" s="3" t="s">
        <v>25</v>
      </c>
      <c r="E70" s="3">
        <v>90001</v>
      </c>
      <c r="F70" s="15" t="s">
        <v>26</v>
      </c>
      <c r="G70" s="3"/>
      <c r="H70" s="16">
        <v>45581</v>
      </c>
      <c r="I70" s="17" t="s">
        <v>27</v>
      </c>
      <c r="J70" s="18">
        <f t="shared" si="18"/>
        <v>26.028571428571428</v>
      </c>
      <c r="K70" s="3">
        <v>8</v>
      </c>
      <c r="L70" s="3">
        <v>4</v>
      </c>
      <c r="M70" s="3"/>
      <c r="N70" s="22">
        <f t="shared" si="19"/>
        <v>12</v>
      </c>
      <c r="O70" s="20">
        <v>364.4</v>
      </c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 x14ac:dyDescent="0.2">
      <c r="A71" s="1" t="s">
        <v>44</v>
      </c>
      <c r="B71" s="28" t="s">
        <v>69</v>
      </c>
      <c r="C71" s="14">
        <v>90004</v>
      </c>
      <c r="D71" s="3" t="s">
        <v>25</v>
      </c>
      <c r="E71" s="3">
        <v>90001</v>
      </c>
      <c r="F71" s="15" t="s">
        <v>26</v>
      </c>
      <c r="G71" s="3"/>
      <c r="H71" s="16">
        <v>45582</v>
      </c>
      <c r="I71" s="17" t="s">
        <v>27</v>
      </c>
      <c r="J71" s="18">
        <f t="shared" si="18"/>
        <v>26.028571428571428</v>
      </c>
      <c r="K71" s="3">
        <v>8</v>
      </c>
      <c r="L71" s="3">
        <v>4</v>
      </c>
      <c r="M71" s="3"/>
      <c r="N71" s="22">
        <f t="shared" si="19"/>
        <v>12</v>
      </c>
      <c r="O71" s="20">
        <v>364.4</v>
      </c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 x14ac:dyDescent="0.2">
      <c r="A72" s="1" t="s">
        <v>44</v>
      </c>
      <c r="B72" s="3" t="s">
        <v>69</v>
      </c>
      <c r="C72" s="3">
        <v>90004</v>
      </c>
      <c r="D72" s="3" t="s">
        <v>25</v>
      </c>
      <c r="E72" s="3">
        <v>90001</v>
      </c>
      <c r="F72" s="15" t="s">
        <v>26</v>
      </c>
      <c r="G72" s="3"/>
      <c r="H72" s="16">
        <v>45583</v>
      </c>
      <c r="I72" s="17" t="s">
        <v>27</v>
      </c>
      <c r="J72" s="18">
        <f t="shared" si="18"/>
        <v>26.028571428571428</v>
      </c>
      <c r="K72" s="3">
        <v>8</v>
      </c>
      <c r="L72" s="3">
        <v>4</v>
      </c>
      <c r="M72" s="3"/>
      <c r="N72" s="22">
        <f t="shared" si="19"/>
        <v>12</v>
      </c>
      <c r="O72" s="20">
        <v>364.4</v>
      </c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 x14ac:dyDescent="0.2">
      <c r="A73" s="1" t="s">
        <v>44</v>
      </c>
      <c r="B73" s="28" t="s">
        <v>69</v>
      </c>
      <c r="C73" s="14">
        <v>90004</v>
      </c>
      <c r="D73" s="3" t="s">
        <v>25</v>
      </c>
      <c r="E73" s="3">
        <v>90001</v>
      </c>
      <c r="F73" s="15" t="s">
        <v>26</v>
      </c>
      <c r="G73" s="3"/>
      <c r="H73" s="16">
        <v>45584</v>
      </c>
      <c r="I73" s="17" t="s">
        <v>27</v>
      </c>
      <c r="J73" s="18">
        <f t="shared" si="18"/>
        <v>26.028571428571428</v>
      </c>
      <c r="K73" s="3">
        <v>8</v>
      </c>
      <c r="L73" s="3">
        <v>4</v>
      </c>
      <c r="M73" s="3"/>
      <c r="N73" s="22">
        <f t="shared" si="19"/>
        <v>12</v>
      </c>
      <c r="O73" s="20">
        <v>364.4</v>
      </c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 x14ac:dyDescent="0.2">
      <c r="A74" s="1" t="s">
        <v>44</v>
      </c>
      <c r="B74" s="3" t="s">
        <v>69</v>
      </c>
      <c r="C74" s="3">
        <v>90004</v>
      </c>
      <c r="D74" s="3" t="s">
        <v>25</v>
      </c>
      <c r="E74" s="3">
        <v>90001</v>
      </c>
      <c r="F74" s="15" t="s">
        <v>26</v>
      </c>
      <c r="G74" s="3"/>
      <c r="H74" s="16">
        <v>45583</v>
      </c>
      <c r="I74" s="17" t="s">
        <v>27</v>
      </c>
      <c r="J74" s="18">
        <v>18</v>
      </c>
      <c r="K74" s="3">
        <v>2</v>
      </c>
      <c r="L74" s="3"/>
      <c r="M74" s="3"/>
      <c r="N74" s="3">
        <f>IF(K74+L74+M74 =0,"", K74+L74+M74)</f>
        <v>2</v>
      </c>
      <c r="O74" s="19">
        <f>J74*K74</f>
        <v>36</v>
      </c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 x14ac:dyDescent="0.2">
      <c r="A75" s="1" t="s">
        <v>44</v>
      </c>
      <c r="B75" s="28" t="s">
        <v>69</v>
      </c>
      <c r="C75" s="14">
        <v>90004</v>
      </c>
      <c r="D75" s="3" t="s">
        <v>25</v>
      </c>
      <c r="E75" s="3">
        <v>90001</v>
      </c>
      <c r="F75" s="15" t="s">
        <v>26</v>
      </c>
      <c r="G75" s="3"/>
      <c r="H75" s="16">
        <v>45584</v>
      </c>
      <c r="I75" s="17" t="s">
        <v>27</v>
      </c>
      <c r="J75" s="18">
        <f>O75/(K75+(L75*1.5)+(M75*2))</f>
        <v>31.607142857142858</v>
      </c>
      <c r="K75" s="3">
        <v>8</v>
      </c>
      <c r="L75" s="3">
        <v>4</v>
      </c>
      <c r="M75" s="3"/>
      <c r="N75" s="22">
        <f>SUM(K75:M75)</f>
        <v>12</v>
      </c>
      <c r="O75" s="20">
        <v>442.5</v>
      </c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 x14ac:dyDescent="0.2">
      <c r="A76" s="24" t="s">
        <v>45</v>
      </c>
      <c r="B76" s="28" t="s">
        <v>70</v>
      </c>
      <c r="C76" s="3">
        <v>90004</v>
      </c>
      <c r="D76" s="3" t="s">
        <v>25</v>
      </c>
      <c r="E76" s="3">
        <v>90001</v>
      </c>
      <c r="F76" s="15" t="s">
        <v>26</v>
      </c>
      <c r="G76" s="3"/>
      <c r="H76" s="16">
        <v>45583</v>
      </c>
      <c r="I76" s="17" t="s">
        <v>27</v>
      </c>
      <c r="J76" s="18">
        <v>18</v>
      </c>
      <c r="K76" s="3">
        <v>2</v>
      </c>
      <c r="L76" s="3"/>
      <c r="M76" s="3"/>
      <c r="N76" s="3">
        <f>IF(K76+L76+M76 =0,"", K76+L76+M76)</f>
        <v>2</v>
      </c>
      <c r="O76" s="19">
        <v>36</v>
      </c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 x14ac:dyDescent="0.2">
      <c r="A77" s="24" t="s">
        <v>45</v>
      </c>
      <c r="B77" s="28" t="s">
        <v>70</v>
      </c>
      <c r="C77" s="14">
        <v>90004</v>
      </c>
      <c r="D77" s="3" t="s">
        <v>25</v>
      </c>
      <c r="E77" s="3">
        <v>90001</v>
      </c>
      <c r="F77" s="15" t="s">
        <v>26</v>
      </c>
      <c r="G77" s="3"/>
      <c r="H77" s="16">
        <v>45584</v>
      </c>
      <c r="I77" s="17" t="s">
        <v>27</v>
      </c>
      <c r="J77" s="18">
        <f>O77/(K77+(L77*1.5)+(M77*2))</f>
        <v>26.928571428571427</v>
      </c>
      <c r="K77" s="3">
        <v>8</v>
      </c>
      <c r="L77" s="3">
        <v>4</v>
      </c>
      <c r="M77" s="3"/>
      <c r="N77" s="22">
        <f>SUM(K77:M77)</f>
        <v>12</v>
      </c>
      <c r="O77" s="20">
        <v>377</v>
      </c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 x14ac:dyDescent="0.2">
      <c r="A78" s="24" t="s">
        <v>45</v>
      </c>
      <c r="B78" s="28" t="s">
        <v>70</v>
      </c>
      <c r="C78" s="3">
        <v>90004</v>
      </c>
      <c r="D78" s="3" t="s">
        <v>25</v>
      </c>
      <c r="E78" s="3">
        <v>90001</v>
      </c>
      <c r="F78" s="15" t="s">
        <v>26</v>
      </c>
      <c r="G78" s="3"/>
      <c r="H78" s="16">
        <v>45582</v>
      </c>
      <c r="I78" s="17" t="s">
        <v>27</v>
      </c>
      <c r="J78" s="18">
        <v>18</v>
      </c>
      <c r="K78" s="3">
        <v>3</v>
      </c>
      <c r="L78" s="3"/>
      <c r="M78" s="3"/>
      <c r="N78" s="3">
        <f t="shared" ref="N78:N81" si="20">IF(K78+L78+M78 =0,"", K78+L78+M78)</f>
        <v>3</v>
      </c>
      <c r="O78" s="19">
        <f>J78*K78</f>
        <v>54</v>
      </c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 x14ac:dyDescent="0.2">
      <c r="A79" s="24" t="s">
        <v>45</v>
      </c>
      <c r="B79" s="28" t="s">
        <v>70</v>
      </c>
      <c r="C79" s="14">
        <v>90004</v>
      </c>
      <c r="D79" s="3" t="s">
        <v>25</v>
      </c>
      <c r="E79" s="3">
        <v>90001</v>
      </c>
      <c r="F79" s="15" t="s">
        <v>26</v>
      </c>
      <c r="G79" s="3"/>
      <c r="H79" s="16">
        <v>45583</v>
      </c>
      <c r="I79" s="17" t="s">
        <v>27</v>
      </c>
      <c r="J79" s="18">
        <f t="shared" ref="J79:J80" si="21">O79/(K79+(L79*1.5)+(M79*2))</f>
        <v>28.571428571428573</v>
      </c>
      <c r="K79" s="3">
        <v>8</v>
      </c>
      <c r="L79" s="3">
        <v>4</v>
      </c>
      <c r="M79" s="3"/>
      <c r="N79" s="3">
        <f t="shared" si="20"/>
        <v>12</v>
      </c>
      <c r="O79" s="20">
        <v>400</v>
      </c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 x14ac:dyDescent="0.2">
      <c r="A80" s="24" t="s">
        <v>45</v>
      </c>
      <c r="B80" s="28" t="s">
        <v>70</v>
      </c>
      <c r="C80" s="3">
        <v>90004</v>
      </c>
      <c r="D80" s="3" t="s">
        <v>25</v>
      </c>
      <c r="E80" s="3">
        <v>90001</v>
      </c>
      <c r="F80" s="15" t="s">
        <v>26</v>
      </c>
      <c r="G80" s="3"/>
      <c r="H80" s="16">
        <v>45584</v>
      </c>
      <c r="I80" s="17" t="s">
        <v>27</v>
      </c>
      <c r="J80" s="18">
        <f t="shared" si="21"/>
        <v>28.571428571428573</v>
      </c>
      <c r="K80" s="3">
        <v>8</v>
      </c>
      <c r="L80" s="3">
        <v>4</v>
      </c>
      <c r="M80" s="3"/>
      <c r="N80" s="3">
        <f t="shared" si="20"/>
        <v>12</v>
      </c>
      <c r="O80" s="20">
        <v>400</v>
      </c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 x14ac:dyDescent="0.2">
      <c r="A81" s="1" t="s">
        <v>46</v>
      </c>
      <c r="B81" s="28" t="s">
        <v>71</v>
      </c>
      <c r="C81" s="14">
        <v>90004</v>
      </c>
      <c r="D81" s="3" t="s">
        <v>25</v>
      </c>
      <c r="E81" s="3">
        <v>90001</v>
      </c>
      <c r="F81" s="15" t="s">
        <v>26</v>
      </c>
      <c r="G81" s="3"/>
      <c r="H81" s="16">
        <v>45583</v>
      </c>
      <c r="I81" s="17" t="s">
        <v>27</v>
      </c>
      <c r="J81" s="18">
        <v>18</v>
      </c>
      <c r="K81" s="3">
        <v>2</v>
      </c>
      <c r="L81" s="3"/>
      <c r="M81" s="3"/>
      <c r="N81" s="3">
        <f t="shared" si="20"/>
        <v>2</v>
      </c>
      <c r="O81" s="19">
        <v>36</v>
      </c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 x14ac:dyDescent="0.2">
      <c r="A82" s="1" t="s">
        <v>46</v>
      </c>
      <c r="B82" s="28" t="s">
        <v>71</v>
      </c>
      <c r="C82" s="3">
        <v>90004</v>
      </c>
      <c r="D82" s="3" t="s">
        <v>25</v>
      </c>
      <c r="E82" s="3">
        <v>90001</v>
      </c>
      <c r="F82" s="15" t="s">
        <v>26</v>
      </c>
      <c r="G82" s="3"/>
      <c r="H82" s="16">
        <v>45584</v>
      </c>
      <c r="I82" s="17" t="s">
        <v>27</v>
      </c>
      <c r="J82" s="18">
        <f>O82/(K82+(L82*1.5)+(M82*2))</f>
        <v>26.446428571428573</v>
      </c>
      <c r="K82" s="3">
        <v>8</v>
      </c>
      <c r="L82" s="3">
        <v>4</v>
      </c>
      <c r="M82" s="3"/>
      <c r="N82" s="22">
        <f>SUM(K82:M82)</f>
        <v>12</v>
      </c>
      <c r="O82" s="20">
        <v>370.25</v>
      </c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 x14ac:dyDescent="0.2">
      <c r="A83" s="1" t="s">
        <v>46</v>
      </c>
      <c r="B83" s="28" t="s">
        <v>71</v>
      </c>
      <c r="C83" s="14">
        <v>90004</v>
      </c>
      <c r="D83" s="3" t="s">
        <v>25</v>
      </c>
      <c r="E83" s="3">
        <v>90001</v>
      </c>
      <c r="F83" s="15" t="s">
        <v>26</v>
      </c>
      <c r="G83" s="3"/>
      <c r="H83" s="16">
        <v>45583</v>
      </c>
      <c r="I83" s="17" t="s">
        <v>27</v>
      </c>
      <c r="J83" s="18">
        <v>18</v>
      </c>
      <c r="K83" s="3">
        <v>2</v>
      </c>
      <c r="L83" s="3"/>
      <c r="M83" s="3"/>
      <c r="N83" s="3">
        <f>IF(K83+L83+M83 =0,"", K83+L83+M83)</f>
        <v>2</v>
      </c>
      <c r="O83" s="19">
        <v>36</v>
      </c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 x14ac:dyDescent="0.2">
      <c r="A84" s="1" t="s">
        <v>46</v>
      </c>
      <c r="B84" s="28" t="s">
        <v>71</v>
      </c>
      <c r="C84" s="3">
        <v>90004</v>
      </c>
      <c r="D84" s="3" t="s">
        <v>25</v>
      </c>
      <c r="E84" s="3">
        <v>90001</v>
      </c>
      <c r="F84" s="15" t="s">
        <v>26</v>
      </c>
      <c r="G84" s="3"/>
      <c r="H84" s="16">
        <v>45584</v>
      </c>
      <c r="I84" s="17" t="s">
        <v>27</v>
      </c>
      <c r="J84" s="18">
        <f>O84/(K84+(L84*1.5)+(M84*2))</f>
        <v>32.732142857142861</v>
      </c>
      <c r="K84" s="3">
        <v>8</v>
      </c>
      <c r="L84" s="3">
        <v>4</v>
      </c>
      <c r="M84" s="3"/>
      <c r="N84" s="22">
        <f>SUM(K84:M84)</f>
        <v>12</v>
      </c>
      <c r="O84" s="20">
        <v>458.25000000000006</v>
      </c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 x14ac:dyDescent="0.2">
      <c r="A85" s="1" t="s">
        <v>46</v>
      </c>
      <c r="B85" s="28" t="s">
        <v>71</v>
      </c>
      <c r="C85" s="14">
        <v>90004</v>
      </c>
      <c r="D85" s="3" t="s">
        <v>25</v>
      </c>
      <c r="E85" s="3">
        <v>90001</v>
      </c>
      <c r="F85" s="15" t="s">
        <v>26</v>
      </c>
      <c r="G85" s="3"/>
      <c r="H85" s="16">
        <v>45583</v>
      </c>
      <c r="I85" s="17" t="s">
        <v>27</v>
      </c>
      <c r="J85" s="18">
        <v>18</v>
      </c>
      <c r="K85" s="3">
        <v>2</v>
      </c>
      <c r="L85" s="3"/>
      <c r="M85" s="3"/>
      <c r="N85" s="3">
        <f>IF(K85+L85+M85 =0,"", K85+L85+M85)</f>
        <v>2</v>
      </c>
      <c r="O85" s="19">
        <v>36</v>
      </c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 x14ac:dyDescent="0.2">
      <c r="A86" s="1" t="s">
        <v>46</v>
      </c>
      <c r="B86" s="28" t="s">
        <v>71</v>
      </c>
      <c r="C86" s="3">
        <v>90004</v>
      </c>
      <c r="D86" s="3" t="s">
        <v>25</v>
      </c>
      <c r="E86" s="3">
        <v>90001</v>
      </c>
      <c r="F86" s="15" t="s">
        <v>26</v>
      </c>
      <c r="G86" s="3"/>
      <c r="H86" s="16">
        <v>45584</v>
      </c>
      <c r="I86" s="17" t="s">
        <v>27</v>
      </c>
      <c r="J86" s="18">
        <f>O86/(K86+(L86*1.5)+(M86*2))</f>
        <v>27.732142857142858</v>
      </c>
      <c r="K86" s="3">
        <v>8</v>
      </c>
      <c r="L86" s="3">
        <v>4</v>
      </c>
      <c r="M86" s="3"/>
      <c r="N86" s="22">
        <f>SUM(K86:M86)</f>
        <v>12</v>
      </c>
      <c r="O86" s="20">
        <v>388.25</v>
      </c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 x14ac:dyDescent="0.2">
      <c r="A87" s="1" t="s">
        <v>46</v>
      </c>
      <c r="B87" s="28" t="s">
        <v>71</v>
      </c>
      <c r="C87" s="14">
        <v>90004</v>
      </c>
      <c r="D87" s="3" t="s">
        <v>25</v>
      </c>
      <c r="E87" s="3">
        <v>90001</v>
      </c>
      <c r="F87" s="15" t="s">
        <v>26</v>
      </c>
      <c r="G87" s="3"/>
      <c r="H87" s="16">
        <v>45582</v>
      </c>
      <c r="I87" s="17" t="s">
        <v>27</v>
      </c>
      <c r="J87" s="18">
        <v>18</v>
      </c>
      <c r="K87" s="3">
        <v>7.5</v>
      </c>
      <c r="L87" s="3"/>
      <c r="M87" s="3"/>
      <c r="N87" s="3">
        <f t="shared" ref="N87:N90" si="22">IF(K87+L87+M87 =0,"", K87+L87+M87)</f>
        <v>7.5</v>
      </c>
      <c r="O87" s="19">
        <f>J87*K87</f>
        <v>135</v>
      </c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 x14ac:dyDescent="0.2">
      <c r="A88" s="1" t="s">
        <v>46</v>
      </c>
      <c r="B88" s="28" t="s">
        <v>71</v>
      </c>
      <c r="C88" s="3">
        <v>90004</v>
      </c>
      <c r="D88" s="3" t="s">
        <v>25</v>
      </c>
      <c r="E88" s="3">
        <v>90001</v>
      </c>
      <c r="F88" s="15" t="s">
        <v>26</v>
      </c>
      <c r="G88" s="3"/>
      <c r="H88" s="16">
        <v>45583</v>
      </c>
      <c r="I88" s="17" t="s">
        <v>27</v>
      </c>
      <c r="J88" s="18">
        <f t="shared" ref="J88:J89" si="23">O88/(K88+(L88*1.5)+(M88*2))</f>
        <v>29</v>
      </c>
      <c r="K88" s="3">
        <v>8</v>
      </c>
      <c r="L88" s="3">
        <v>4</v>
      </c>
      <c r="M88" s="3"/>
      <c r="N88" s="3">
        <f t="shared" si="22"/>
        <v>12</v>
      </c>
      <c r="O88" s="20">
        <v>406</v>
      </c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 x14ac:dyDescent="0.2">
      <c r="A89" s="1" t="s">
        <v>46</v>
      </c>
      <c r="B89" s="28" t="s">
        <v>71</v>
      </c>
      <c r="C89" s="14">
        <v>90004</v>
      </c>
      <c r="D89" s="3" t="s">
        <v>25</v>
      </c>
      <c r="E89" s="3">
        <v>90001</v>
      </c>
      <c r="F89" s="15" t="s">
        <v>26</v>
      </c>
      <c r="G89" s="3"/>
      <c r="H89" s="16">
        <v>45584</v>
      </c>
      <c r="I89" s="17" t="s">
        <v>27</v>
      </c>
      <c r="J89" s="18">
        <f t="shared" si="23"/>
        <v>29</v>
      </c>
      <c r="K89" s="3">
        <v>8</v>
      </c>
      <c r="L89" s="3">
        <v>4</v>
      </c>
      <c r="M89" s="3"/>
      <c r="N89" s="3">
        <f t="shared" si="22"/>
        <v>12</v>
      </c>
      <c r="O89" s="20">
        <v>406</v>
      </c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 x14ac:dyDescent="0.2">
      <c r="A90" s="24" t="s">
        <v>47</v>
      </c>
      <c r="B90" s="28" t="s">
        <v>72</v>
      </c>
      <c r="C90" s="3">
        <v>90004</v>
      </c>
      <c r="D90" s="3" t="s">
        <v>25</v>
      </c>
      <c r="E90" s="3">
        <v>90001</v>
      </c>
      <c r="F90" s="15" t="s">
        <v>26</v>
      </c>
      <c r="G90" s="3"/>
      <c r="H90" s="16">
        <v>45583</v>
      </c>
      <c r="I90" s="17" t="s">
        <v>27</v>
      </c>
      <c r="J90" s="18">
        <v>18</v>
      </c>
      <c r="K90" s="3">
        <v>2</v>
      </c>
      <c r="L90" s="3"/>
      <c r="M90" s="3"/>
      <c r="N90" s="3">
        <f t="shared" si="22"/>
        <v>2</v>
      </c>
      <c r="O90" s="19">
        <v>36</v>
      </c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 x14ac:dyDescent="0.2">
      <c r="A91" s="24" t="s">
        <v>47</v>
      </c>
      <c r="B91" s="28" t="s">
        <v>72</v>
      </c>
      <c r="C91" s="14">
        <v>90004</v>
      </c>
      <c r="D91" s="3" t="s">
        <v>25</v>
      </c>
      <c r="E91" s="3">
        <v>90001</v>
      </c>
      <c r="F91" s="15" t="s">
        <v>26</v>
      </c>
      <c r="G91" s="3"/>
      <c r="H91" s="16">
        <v>45584</v>
      </c>
      <c r="I91" s="17" t="s">
        <v>27</v>
      </c>
      <c r="J91" s="18">
        <f>O91/(K91+(L91*1.5)+(M91*2))</f>
        <v>32.892857142857146</v>
      </c>
      <c r="K91" s="3">
        <v>8</v>
      </c>
      <c r="L91" s="3">
        <v>4</v>
      </c>
      <c r="M91" s="3"/>
      <c r="N91" s="22">
        <f>SUM(K91:M91)</f>
        <v>12</v>
      </c>
      <c r="O91" s="20">
        <v>460.5</v>
      </c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 x14ac:dyDescent="0.2">
      <c r="A92" s="24" t="s">
        <v>47</v>
      </c>
      <c r="B92" s="28" t="s">
        <v>72</v>
      </c>
      <c r="C92" s="3">
        <v>90004</v>
      </c>
      <c r="D92" s="3" t="s">
        <v>25</v>
      </c>
      <c r="E92" s="3">
        <v>90001</v>
      </c>
      <c r="F92" s="15" t="s">
        <v>26</v>
      </c>
      <c r="G92" s="3"/>
      <c r="H92" s="16">
        <v>45582</v>
      </c>
      <c r="I92" s="17" t="s">
        <v>27</v>
      </c>
      <c r="J92" s="18">
        <v>18</v>
      </c>
      <c r="K92" s="3">
        <v>2</v>
      </c>
      <c r="L92" s="3"/>
      <c r="M92" s="3"/>
      <c r="N92" s="3">
        <f>IF(K92+L92+M92 =0,"", K92+L92+M92)</f>
        <v>2</v>
      </c>
      <c r="O92" s="19">
        <f>J92*K92</f>
        <v>36</v>
      </c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 x14ac:dyDescent="0.2">
      <c r="A93" s="24" t="s">
        <v>47</v>
      </c>
      <c r="B93" s="28" t="s">
        <v>72</v>
      </c>
      <c r="C93" s="14">
        <v>90004</v>
      </c>
      <c r="D93" s="3" t="s">
        <v>25</v>
      </c>
      <c r="E93" s="3">
        <v>90001</v>
      </c>
      <c r="F93" s="15" t="s">
        <v>26</v>
      </c>
      <c r="G93" s="3"/>
      <c r="H93" s="16">
        <v>45583</v>
      </c>
      <c r="I93" s="17" t="s">
        <v>27</v>
      </c>
      <c r="J93" s="18">
        <f t="shared" ref="J93:J94" si="24">O93/(K93+(L93*1.5)+(M93*2))</f>
        <v>31.785714285714285</v>
      </c>
      <c r="K93" s="3">
        <v>8</v>
      </c>
      <c r="L93" s="3">
        <v>4</v>
      </c>
      <c r="M93" s="3"/>
      <c r="N93" s="22">
        <f t="shared" ref="N93:N94" si="25">SUM(K93:M93)</f>
        <v>12</v>
      </c>
      <c r="O93" s="20">
        <v>445</v>
      </c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 x14ac:dyDescent="0.2">
      <c r="A94" s="24" t="s">
        <v>47</v>
      </c>
      <c r="B94" s="28" t="s">
        <v>72</v>
      </c>
      <c r="C94" s="3">
        <v>90004</v>
      </c>
      <c r="D94" s="3" t="s">
        <v>25</v>
      </c>
      <c r="E94" s="3">
        <v>90001</v>
      </c>
      <c r="F94" s="15" t="s">
        <v>26</v>
      </c>
      <c r="G94" s="3"/>
      <c r="H94" s="16">
        <v>45584</v>
      </c>
      <c r="I94" s="17" t="s">
        <v>27</v>
      </c>
      <c r="J94" s="18">
        <f t="shared" si="24"/>
        <v>31.785714285714285</v>
      </c>
      <c r="K94" s="3">
        <v>8</v>
      </c>
      <c r="L94" s="3">
        <v>4</v>
      </c>
      <c r="M94" s="3"/>
      <c r="N94" s="22">
        <f t="shared" si="25"/>
        <v>12</v>
      </c>
      <c r="O94" s="20">
        <v>445</v>
      </c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 x14ac:dyDescent="0.2">
      <c r="A95" s="24" t="s">
        <v>47</v>
      </c>
      <c r="B95" s="28" t="s">
        <v>72</v>
      </c>
      <c r="C95" s="14">
        <v>90004</v>
      </c>
      <c r="D95" s="3" t="s">
        <v>25</v>
      </c>
      <c r="E95" s="3">
        <v>90001</v>
      </c>
      <c r="F95" s="15" t="s">
        <v>26</v>
      </c>
      <c r="G95" s="3"/>
      <c r="H95" s="16">
        <v>45582</v>
      </c>
      <c r="I95" s="17" t="s">
        <v>27</v>
      </c>
      <c r="J95" s="18">
        <v>18</v>
      </c>
      <c r="K95" s="3">
        <v>2</v>
      </c>
      <c r="L95" s="3"/>
      <c r="M95" s="3"/>
      <c r="N95" s="3">
        <f>IF(K95+L95+M95 =0,"", K95+L95+M95)</f>
        <v>2</v>
      </c>
      <c r="O95" s="19">
        <f>J95*K95</f>
        <v>36</v>
      </c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 x14ac:dyDescent="0.2">
      <c r="A96" s="24" t="s">
        <v>47</v>
      </c>
      <c r="B96" s="28" t="s">
        <v>72</v>
      </c>
      <c r="C96" s="3">
        <v>90004</v>
      </c>
      <c r="D96" s="3" t="s">
        <v>25</v>
      </c>
      <c r="E96" s="3">
        <v>90001</v>
      </c>
      <c r="F96" s="15" t="s">
        <v>26</v>
      </c>
      <c r="G96" s="3"/>
      <c r="H96" s="16">
        <v>45583</v>
      </c>
      <c r="I96" s="17" t="s">
        <v>27</v>
      </c>
      <c r="J96" s="18">
        <f t="shared" ref="J96:J98" si="26">O96/(K96+(L96*1.5)+(M96*2))</f>
        <v>31.178571428571427</v>
      </c>
      <c r="K96" s="3">
        <v>8</v>
      </c>
      <c r="L96" s="3">
        <v>4</v>
      </c>
      <c r="M96" s="3"/>
      <c r="N96" s="22">
        <f t="shared" ref="N96:N98" si="27">SUM(K96:M96)</f>
        <v>12</v>
      </c>
      <c r="O96" s="20">
        <v>436.5</v>
      </c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 x14ac:dyDescent="0.2">
      <c r="A97" s="24" t="s">
        <v>47</v>
      </c>
      <c r="B97" s="28" t="s">
        <v>72</v>
      </c>
      <c r="C97" s="14">
        <v>90004</v>
      </c>
      <c r="D97" s="3" t="s">
        <v>25</v>
      </c>
      <c r="E97" s="3">
        <v>90001</v>
      </c>
      <c r="F97" s="15" t="s">
        <v>26</v>
      </c>
      <c r="G97" s="3"/>
      <c r="H97" s="16">
        <v>45584</v>
      </c>
      <c r="I97" s="17" t="s">
        <v>27</v>
      </c>
      <c r="J97" s="18">
        <f t="shared" si="26"/>
        <v>31.178571428571427</v>
      </c>
      <c r="K97" s="3">
        <v>8</v>
      </c>
      <c r="L97" s="3">
        <v>4</v>
      </c>
      <c r="M97" s="3"/>
      <c r="N97" s="22">
        <f t="shared" si="27"/>
        <v>12</v>
      </c>
      <c r="O97" s="20">
        <v>436.5</v>
      </c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 x14ac:dyDescent="0.2">
      <c r="A98" s="24" t="s">
        <v>47</v>
      </c>
      <c r="B98" s="28" t="s">
        <v>72</v>
      </c>
      <c r="C98" s="3">
        <v>90004</v>
      </c>
      <c r="D98" s="3" t="s">
        <v>25</v>
      </c>
      <c r="E98" s="3">
        <v>90001</v>
      </c>
      <c r="F98" s="15" t="s">
        <v>26</v>
      </c>
      <c r="G98" s="3"/>
      <c r="H98" s="16">
        <v>45584</v>
      </c>
      <c r="I98" s="17" t="s">
        <v>27</v>
      </c>
      <c r="J98" s="18">
        <f t="shared" si="26"/>
        <v>26.928571428571427</v>
      </c>
      <c r="K98" s="3">
        <v>8</v>
      </c>
      <c r="L98" s="3">
        <v>4</v>
      </c>
      <c r="M98" s="3"/>
      <c r="N98" s="22">
        <f t="shared" si="27"/>
        <v>12</v>
      </c>
      <c r="O98" s="20">
        <v>377</v>
      </c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 x14ac:dyDescent="0.2">
      <c r="A99" s="24" t="s">
        <v>47</v>
      </c>
      <c r="B99" s="28" t="s">
        <v>72</v>
      </c>
      <c r="C99" s="14">
        <v>90004</v>
      </c>
      <c r="D99" s="3" t="s">
        <v>25</v>
      </c>
      <c r="E99" s="3">
        <v>90001</v>
      </c>
      <c r="F99" s="15" t="s">
        <v>26</v>
      </c>
      <c r="G99" s="3"/>
      <c r="H99" s="16">
        <v>45583</v>
      </c>
      <c r="I99" s="17" t="s">
        <v>27</v>
      </c>
      <c r="J99" s="18">
        <v>18</v>
      </c>
      <c r="K99" s="3">
        <v>2</v>
      </c>
      <c r="L99" s="3"/>
      <c r="M99" s="3"/>
      <c r="N99" s="3">
        <f>IF(K99+L99+M99 =0,"", K99+L99+M99)</f>
        <v>2</v>
      </c>
      <c r="O99" s="19">
        <f>J99*K99</f>
        <v>36</v>
      </c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 x14ac:dyDescent="0.2">
      <c r="A100" s="24" t="s">
        <v>47</v>
      </c>
      <c r="B100" s="28" t="s">
        <v>72</v>
      </c>
      <c r="C100" s="3">
        <v>90004</v>
      </c>
      <c r="D100" s="3" t="s">
        <v>25</v>
      </c>
      <c r="E100" s="3">
        <v>90001</v>
      </c>
      <c r="F100" s="15" t="s">
        <v>26</v>
      </c>
      <c r="G100" s="3"/>
      <c r="H100" s="16">
        <v>45584</v>
      </c>
      <c r="I100" s="17" t="s">
        <v>27</v>
      </c>
      <c r="J100" s="18">
        <f>O100/(K100+(L100*1.5)+(M100*2))</f>
        <v>31.928571428571427</v>
      </c>
      <c r="K100" s="3">
        <v>8</v>
      </c>
      <c r="L100" s="3">
        <v>4</v>
      </c>
      <c r="M100" s="3"/>
      <c r="N100" s="22">
        <f>SUM(K100:M100)</f>
        <v>12</v>
      </c>
      <c r="O100" s="20">
        <v>447</v>
      </c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 x14ac:dyDescent="0.2">
      <c r="A101" s="1" t="s">
        <v>48</v>
      </c>
      <c r="B101" s="28" t="s">
        <v>73</v>
      </c>
      <c r="C101" s="14">
        <v>90004</v>
      </c>
      <c r="D101" s="3" t="s">
        <v>25</v>
      </c>
      <c r="E101" s="3">
        <v>90001</v>
      </c>
      <c r="F101" s="15" t="s">
        <v>26</v>
      </c>
      <c r="G101" s="3"/>
      <c r="H101" s="16">
        <v>45582</v>
      </c>
      <c r="I101" s="17" t="s">
        <v>27</v>
      </c>
      <c r="J101" s="18">
        <v>18</v>
      </c>
      <c r="K101" s="3">
        <v>2</v>
      </c>
      <c r="L101" s="3"/>
      <c r="M101" s="3"/>
      <c r="N101" s="3">
        <f>IF(K101+L101+M101 =0,"", K101+L101+M101)</f>
        <v>2</v>
      </c>
      <c r="O101" s="19">
        <f>J101*K101</f>
        <v>36</v>
      </c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 x14ac:dyDescent="0.2">
      <c r="A102" s="1" t="s">
        <v>48</v>
      </c>
      <c r="B102" s="28" t="s">
        <v>73</v>
      </c>
      <c r="C102" s="3">
        <v>90004</v>
      </c>
      <c r="D102" s="3" t="s">
        <v>25</v>
      </c>
      <c r="E102" s="3">
        <v>90001</v>
      </c>
      <c r="F102" s="15" t="s">
        <v>26</v>
      </c>
      <c r="G102" s="3"/>
      <c r="H102" s="16">
        <v>45583</v>
      </c>
      <c r="I102" s="17" t="s">
        <v>27</v>
      </c>
      <c r="J102" s="18">
        <f t="shared" ref="J102:J103" si="28">O102/(K102+(L102*1.5)+(M102*2))</f>
        <v>30.428571428571427</v>
      </c>
      <c r="K102" s="3">
        <v>8</v>
      </c>
      <c r="L102" s="3">
        <v>4</v>
      </c>
      <c r="M102" s="3"/>
      <c r="N102" s="22">
        <f t="shared" ref="N102:N103" si="29">SUM(K102:M102)</f>
        <v>12</v>
      </c>
      <c r="O102" s="20">
        <v>426</v>
      </c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 x14ac:dyDescent="0.2">
      <c r="A103" s="1" t="s">
        <v>48</v>
      </c>
      <c r="B103" s="28" t="s">
        <v>73</v>
      </c>
      <c r="C103" s="14">
        <v>90004</v>
      </c>
      <c r="D103" s="3" t="s">
        <v>25</v>
      </c>
      <c r="E103" s="3">
        <v>90001</v>
      </c>
      <c r="F103" s="15" t="s">
        <v>26</v>
      </c>
      <c r="G103" s="3"/>
      <c r="H103" s="16">
        <v>45584</v>
      </c>
      <c r="I103" s="17" t="s">
        <v>27</v>
      </c>
      <c r="J103" s="18">
        <f t="shared" si="28"/>
        <v>30.428571428571427</v>
      </c>
      <c r="K103" s="3">
        <v>8</v>
      </c>
      <c r="L103" s="3">
        <v>4</v>
      </c>
      <c r="M103" s="3"/>
      <c r="N103" s="22">
        <f t="shared" si="29"/>
        <v>12</v>
      </c>
      <c r="O103" s="20">
        <v>426</v>
      </c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 x14ac:dyDescent="0.2">
      <c r="A104" s="1" t="s">
        <v>48</v>
      </c>
      <c r="B104" s="28" t="s">
        <v>73</v>
      </c>
      <c r="C104" s="3">
        <v>90004</v>
      </c>
      <c r="D104" s="3" t="s">
        <v>25</v>
      </c>
      <c r="E104" s="3">
        <v>90001</v>
      </c>
      <c r="F104" s="15" t="s">
        <v>26</v>
      </c>
      <c r="G104" s="3"/>
      <c r="H104" s="16">
        <v>45582</v>
      </c>
      <c r="I104" s="17" t="s">
        <v>27</v>
      </c>
      <c r="J104" s="18">
        <v>18</v>
      </c>
      <c r="K104" s="3">
        <v>2</v>
      </c>
      <c r="L104" s="3"/>
      <c r="M104" s="3"/>
      <c r="N104" s="3">
        <f>IF(K104+L104+M104 =0,"", K104+L104+M104)</f>
        <v>2</v>
      </c>
      <c r="O104" s="19">
        <v>36</v>
      </c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 x14ac:dyDescent="0.2">
      <c r="A105" s="1" t="s">
        <v>48</v>
      </c>
      <c r="B105" s="28" t="s">
        <v>73</v>
      </c>
      <c r="C105" s="14">
        <v>90004</v>
      </c>
      <c r="D105" s="3" t="s">
        <v>25</v>
      </c>
      <c r="E105" s="3">
        <v>90001</v>
      </c>
      <c r="F105" s="15" t="s">
        <v>26</v>
      </c>
      <c r="G105" s="3"/>
      <c r="H105" s="16">
        <v>45583</v>
      </c>
      <c r="I105" s="17" t="s">
        <v>27</v>
      </c>
      <c r="J105" s="18">
        <f t="shared" ref="J105:J106" si="30">O105/(K105+(L105*1.5)+(M105*2))</f>
        <v>30.642857142857142</v>
      </c>
      <c r="K105" s="3">
        <v>8</v>
      </c>
      <c r="L105" s="3">
        <v>4</v>
      </c>
      <c r="M105" s="3"/>
      <c r="N105" s="22">
        <f t="shared" ref="N105:N106" si="31">SUM(K105:M105)</f>
        <v>12</v>
      </c>
      <c r="O105" s="20">
        <v>429</v>
      </c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 x14ac:dyDescent="0.2">
      <c r="A106" s="1" t="s">
        <v>48</v>
      </c>
      <c r="B106" s="28" t="s">
        <v>73</v>
      </c>
      <c r="C106" s="3">
        <v>90004</v>
      </c>
      <c r="D106" s="3" t="s">
        <v>25</v>
      </c>
      <c r="E106" s="3">
        <v>90001</v>
      </c>
      <c r="F106" s="15" t="s">
        <v>26</v>
      </c>
      <c r="G106" s="3"/>
      <c r="H106" s="16">
        <v>45584</v>
      </c>
      <c r="I106" s="17" t="s">
        <v>27</v>
      </c>
      <c r="J106" s="18">
        <f t="shared" si="30"/>
        <v>30.642857142857142</v>
      </c>
      <c r="K106" s="3">
        <v>8</v>
      </c>
      <c r="L106" s="3">
        <v>4</v>
      </c>
      <c r="M106" s="3"/>
      <c r="N106" s="22">
        <f t="shared" si="31"/>
        <v>12</v>
      </c>
      <c r="O106" s="20">
        <v>429</v>
      </c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 x14ac:dyDescent="0.2">
      <c r="A107" s="1" t="s">
        <v>48</v>
      </c>
      <c r="B107" s="28" t="s">
        <v>73</v>
      </c>
      <c r="C107" s="14">
        <v>90004</v>
      </c>
      <c r="D107" s="3" t="s">
        <v>25</v>
      </c>
      <c r="E107" s="3">
        <v>90001</v>
      </c>
      <c r="F107" s="15" t="s">
        <v>26</v>
      </c>
      <c r="G107" s="3"/>
      <c r="H107" s="16">
        <v>45582</v>
      </c>
      <c r="I107" s="17" t="s">
        <v>27</v>
      </c>
      <c r="J107" s="18">
        <v>18</v>
      </c>
      <c r="K107" s="3">
        <v>2</v>
      </c>
      <c r="L107" s="3"/>
      <c r="M107" s="3"/>
      <c r="N107" s="3">
        <f>IF(K107+L107+M107 =0,"", K107+L107+M107)</f>
        <v>2</v>
      </c>
      <c r="O107" s="19">
        <v>36</v>
      </c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 x14ac:dyDescent="0.2">
      <c r="A108" s="1" t="s">
        <v>48</v>
      </c>
      <c r="B108" s="28" t="s">
        <v>73</v>
      </c>
      <c r="C108" s="3">
        <v>90004</v>
      </c>
      <c r="D108" s="3" t="s">
        <v>25</v>
      </c>
      <c r="E108" s="3">
        <v>90001</v>
      </c>
      <c r="F108" s="15" t="s">
        <v>26</v>
      </c>
      <c r="G108" s="3"/>
      <c r="H108" s="16">
        <v>45583</v>
      </c>
      <c r="I108" s="17" t="s">
        <v>27</v>
      </c>
      <c r="J108" s="18">
        <f t="shared" ref="J108:J109" si="32">O108/(K108+(L108*1.5)+(M108*2))</f>
        <v>31.178571428571427</v>
      </c>
      <c r="K108" s="3">
        <v>8</v>
      </c>
      <c r="L108" s="3">
        <v>4</v>
      </c>
      <c r="M108" s="3"/>
      <c r="N108" s="22">
        <f t="shared" ref="N108:N109" si="33">SUM(K108:M108)</f>
        <v>12</v>
      </c>
      <c r="O108" s="20">
        <v>436.5</v>
      </c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 x14ac:dyDescent="0.2">
      <c r="A109" s="1" t="s">
        <v>48</v>
      </c>
      <c r="B109" s="28" t="s">
        <v>73</v>
      </c>
      <c r="C109" s="14">
        <v>90004</v>
      </c>
      <c r="D109" s="3" t="s">
        <v>25</v>
      </c>
      <c r="E109" s="3">
        <v>90001</v>
      </c>
      <c r="F109" s="15" t="s">
        <v>26</v>
      </c>
      <c r="G109" s="3"/>
      <c r="H109" s="16">
        <v>45584</v>
      </c>
      <c r="I109" s="17" t="s">
        <v>27</v>
      </c>
      <c r="J109" s="18">
        <f t="shared" si="32"/>
        <v>31.178571428571427</v>
      </c>
      <c r="K109" s="3">
        <v>8</v>
      </c>
      <c r="L109" s="3">
        <v>4</v>
      </c>
      <c r="M109" s="3"/>
      <c r="N109" s="22">
        <f t="shared" si="33"/>
        <v>12</v>
      </c>
      <c r="O109" s="20">
        <v>436.5</v>
      </c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 x14ac:dyDescent="0.2">
      <c r="A110" s="1" t="s">
        <v>48</v>
      </c>
      <c r="B110" s="28" t="s">
        <v>73</v>
      </c>
      <c r="C110" s="3">
        <v>90004</v>
      </c>
      <c r="D110" s="3" t="s">
        <v>25</v>
      </c>
      <c r="E110" s="3">
        <v>90001</v>
      </c>
      <c r="F110" s="15" t="s">
        <v>26</v>
      </c>
      <c r="G110" s="3"/>
      <c r="H110" s="16">
        <v>45582</v>
      </c>
      <c r="I110" s="17" t="s">
        <v>27</v>
      </c>
      <c r="J110" s="18">
        <v>18</v>
      </c>
      <c r="K110" s="3">
        <v>5</v>
      </c>
      <c r="L110" s="3"/>
      <c r="M110" s="3"/>
      <c r="N110" s="3">
        <f t="shared" ref="N110:N113" si="34">IF(K110+L110+M110 =0,"", K110+L110+M110)</f>
        <v>5</v>
      </c>
      <c r="O110" s="19">
        <f>J110*K110</f>
        <v>90</v>
      </c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 x14ac:dyDescent="0.2">
      <c r="A111" s="1" t="s">
        <v>48</v>
      </c>
      <c r="B111" s="28" t="s">
        <v>73</v>
      </c>
      <c r="C111" s="14">
        <v>90004</v>
      </c>
      <c r="D111" s="3" t="s">
        <v>25</v>
      </c>
      <c r="E111" s="3">
        <v>90001</v>
      </c>
      <c r="F111" s="15" t="s">
        <v>26</v>
      </c>
      <c r="G111" s="3"/>
      <c r="H111" s="16">
        <v>45583</v>
      </c>
      <c r="I111" s="17" t="s">
        <v>27</v>
      </c>
      <c r="J111" s="18">
        <f t="shared" ref="J111:J112" si="35">O111/(K111+(L111*1.5)+(M111*2))</f>
        <v>29.428571428571427</v>
      </c>
      <c r="K111" s="3">
        <v>8</v>
      </c>
      <c r="L111" s="3">
        <v>4</v>
      </c>
      <c r="M111" s="3"/>
      <c r="N111" s="3">
        <f t="shared" si="34"/>
        <v>12</v>
      </c>
      <c r="O111" s="20">
        <v>412</v>
      </c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 x14ac:dyDescent="0.2">
      <c r="A112" s="1" t="s">
        <v>48</v>
      </c>
      <c r="B112" s="28" t="s">
        <v>73</v>
      </c>
      <c r="C112" s="3">
        <v>90004</v>
      </c>
      <c r="D112" s="3" t="s">
        <v>25</v>
      </c>
      <c r="E112" s="3">
        <v>90001</v>
      </c>
      <c r="F112" s="15" t="s">
        <v>26</v>
      </c>
      <c r="G112" s="3"/>
      <c r="H112" s="16">
        <v>45584</v>
      </c>
      <c r="I112" s="17" t="s">
        <v>27</v>
      </c>
      <c r="J112" s="18">
        <f t="shared" si="35"/>
        <v>29.428571428571427</v>
      </c>
      <c r="K112" s="3">
        <v>8</v>
      </c>
      <c r="L112" s="3">
        <v>4</v>
      </c>
      <c r="M112" s="3"/>
      <c r="N112" s="3">
        <f t="shared" si="34"/>
        <v>12</v>
      </c>
      <c r="O112" s="20">
        <v>412</v>
      </c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 x14ac:dyDescent="0.2">
      <c r="A113" s="1" t="s">
        <v>48</v>
      </c>
      <c r="B113" s="28" t="s">
        <v>73</v>
      </c>
      <c r="C113" s="14">
        <v>90004</v>
      </c>
      <c r="D113" s="3" t="s">
        <v>25</v>
      </c>
      <c r="E113" s="3">
        <v>90001</v>
      </c>
      <c r="F113" s="15" t="s">
        <v>26</v>
      </c>
      <c r="G113" s="3"/>
      <c r="H113" s="16">
        <v>45583</v>
      </c>
      <c r="I113" s="17" t="s">
        <v>27</v>
      </c>
      <c r="J113" s="18">
        <v>18</v>
      </c>
      <c r="K113" s="3">
        <v>2</v>
      </c>
      <c r="L113" s="3"/>
      <c r="M113" s="3"/>
      <c r="N113" s="3">
        <f t="shared" si="34"/>
        <v>2</v>
      </c>
      <c r="O113" s="19">
        <v>36</v>
      </c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 x14ac:dyDescent="0.2">
      <c r="A114" s="1" t="s">
        <v>48</v>
      </c>
      <c r="B114" s="28" t="s">
        <v>73</v>
      </c>
      <c r="C114" s="3">
        <v>90004</v>
      </c>
      <c r="D114" s="3" t="s">
        <v>25</v>
      </c>
      <c r="E114" s="3">
        <v>90001</v>
      </c>
      <c r="F114" s="15" t="s">
        <v>26</v>
      </c>
      <c r="G114" s="3"/>
      <c r="H114" s="16">
        <v>45584</v>
      </c>
      <c r="I114" s="17" t="s">
        <v>27</v>
      </c>
      <c r="J114" s="18">
        <f t="shared" ref="J114:J124" si="36">O114/(K114+(L114*1.5)+(M114*2))</f>
        <v>27.732142857142858</v>
      </c>
      <c r="K114" s="3">
        <v>8</v>
      </c>
      <c r="L114" s="3">
        <v>4</v>
      </c>
      <c r="M114" s="3"/>
      <c r="N114" s="22">
        <f>SUM(K114:M114)</f>
        <v>12</v>
      </c>
      <c r="O114" s="20">
        <v>388.25</v>
      </c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 x14ac:dyDescent="0.2">
      <c r="A115" s="25" t="s">
        <v>49</v>
      </c>
      <c r="B115" s="28" t="s">
        <v>74</v>
      </c>
      <c r="C115" s="14">
        <v>90004</v>
      </c>
      <c r="D115" s="3" t="s">
        <v>25</v>
      </c>
      <c r="E115" s="3">
        <v>90001</v>
      </c>
      <c r="F115" s="15" t="s">
        <v>26</v>
      </c>
      <c r="G115" s="3"/>
      <c r="H115" s="26">
        <v>45580</v>
      </c>
      <c r="I115" s="17" t="s">
        <v>27</v>
      </c>
      <c r="J115" s="18">
        <f t="shared" si="36"/>
        <v>35.714285714285715</v>
      </c>
      <c r="K115" s="3">
        <v>8</v>
      </c>
      <c r="L115" s="3">
        <v>4</v>
      </c>
      <c r="M115" s="3"/>
      <c r="N115" s="3">
        <f t="shared" ref="N115:N125" si="37">IF(K115+L115+M115 =0,"", K115+L115+M115)</f>
        <v>12</v>
      </c>
      <c r="O115" s="19">
        <v>500</v>
      </c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 x14ac:dyDescent="0.2">
      <c r="A116" s="25" t="s">
        <v>49</v>
      </c>
      <c r="B116" s="28" t="s">
        <v>74</v>
      </c>
      <c r="C116" s="3">
        <v>90004</v>
      </c>
      <c r="D116" s="3" t="s">
        <v>25</v>
      </c>
      <c r="E116" s="3">
        <v>90001</v>
      </c>
      <c r="F116" s="15" t="s">
        <v>26</v>
      </c>
      <c r="G116" s="3"/>
      <c r="H116" s="26">
        <v>45581</v>
      </c>
      <c r="I116" s="17" t="s">
        <v>27</v>
      </c>
      <c r="J116" s="18">
        <f t="shared" si="36"/>
        <v>35.714285714285715</v>
      </c>
      <c r="K116" s="3">
        <v>8</v>
      </c>
      <c r="L116" s="3">
        <v>4</v>
      </c>
      <c r="M116" s="3"/>
      <c r="N116" s="3">
        <f t="shared" si="37"/>
        <v>12</v>
      </c>
      <c r="O116" s="19">
        <v>500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 x14ac:dyDescent="0.2">
      <c r="A117" s="25" t="s">
        <v>49</v>
      </c>
      <c r="B117" s="28" t="s">
        <v>74</v>
      </c>
      <c r="C117" s="14">
        <v>90004</v>
      </c>
      <c r="D117" s="3" t="s">
        <v>25</v>
      </c>
      <c r="E117" s="3">
        <v>90001</v>
      </c>
      <c r="F117" s="15" t="s">
        <v>26</v>
      </c>
      <c r="G117" s="3"/>
      <c r="H117" s="26">
        <v>45582</v>
      </c>
      <c r="I117" s="17" t="s">
        <v>27</v>
      </c>
      <c r="J117" s="18">
        <f t="shared" si="36"/>
        <v>35.714285714285715</v>
      </c>
      <c r="K117" s="3">
        <v>8</v>
      </c>
      <c r="L117" s="3">
        <v>4</v>
      </c>
      <c r="M117" s="3"/>
      <c r="N117" s="3">
        <f t="shared" si="37"/>
        <v>12</v>
      </c>
      <c r="O117" s="19">
        <v>500</v>
      </c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 x14ac:dyDescent="0.2">
      <c r="A118" s="25" t="s">
        <v>49</v>
      </c>
      <c r="B118" s="28" t="s">
        <v>74</v>
      </c>
      <c r="C118" s="3">
        <v>90004</v>
      </c>
      <c r="D118" s="3" t="s">
        <v>25</v>
      </c>
      <c r="E118" s="3">
        <v>90001</v>
      </c>
      <c r="F118" s="15" t="s">
        <v>26</v>
      </c>
      <c r="G118" s="3"/>
      <c r="H118" s="26">
        <v>45583</v>
      </c>
      <c r="I118" s="17" t="s">
        <v>27</v>
      </c>
      <c r="J118" s="18">
        <f t="shared" si="36"/>
        <v>35.714285714285715</v>
      </c>
      <c r="K118" s="3">
        <v>8</v>
      </c>
      <c r="L118" s="3">
        <v>4</v>
      </c>
      <c r="M118" s="3"/>
      <c r="N118" s="3">
        <f t="shared" si="37"/>
        <v>12</v>
      </c>
      <c r="O118" s="19">
        <v>500</v>
      </c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 x14ac:dyDescent="0.2">
      <c r="A119" s="25" t="s">
        <v>49</v>
      </c>
      <c r="B119" s="28" t="s">
        <v>74</v>
      </c>
      <c r="C119" s="14">
        <v>90004</v>
      </c>
      <c r="D119" s="3" t="s">
        <v>25</v>
      </c>
      <c r="E119" s="3">
        <v>90001</v>
      </c>
      <c r="F119" s="15" t="s">
        <v>26</v>
      </c>
      <c r="G119" s="3"/>
      <c r="H119" s="26">
        <v>45584</v>
      </c>
      <c r="I119" s="17" t="s">
        <v>27</v>
      </c>
      <c r="J119" s="18">
        <f t="shared" si="36"/>
        <v>35.714285714285715</v>
      </c>
      <c r="K119" s="3">
        <v>8</v>
      </c>
      <c r="L119" s="3">
        <v>4</v>
      </c>
      <c r="M119" s="3"/>
      <c r="N119" s="3">
        <f t="shared" si="37"/>
        <v>12</v>
      </c>
      <c r="O119" s="19">
        <v>500</v>
      </c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 x14ac:dyDescent="0.2">
      <c r="A120" s="25" t="s">
        <v>49</v>
      </c>
      <c r="B120" s="28" t="s">
        <v>74</v>
      </c>
      <c r="C120" s="3">
        <v>90004</v>
      </c>
      <c r="D120" s="3" t="s">
        <v>25</v>
      </c>
      <c r="E120" s="3">
        <v>90001</v>
      </c>
      <c r="F120" s="15" t="s">
        <v>26</v>
      </c>
      <c r="G120" s="3"/>
      <c r="H120" s="26">
        <v>45580</v>
      </c>
      <c r="I120" s="17" t="s">
        <v>27</v>
      </c>
      <c r="J120" s="18">
        <f t="shared" si="36"/>
        <v>35.714285714285715</v>
      </c>
      <c r="K120" s="3">
        <v>8</v>
      </c>
      <c r="L120" s="3">
        <v>4</v>
      </c>
      <c r="M120" s="3"/>
      <c r="N120" s="3">
        <f t="shared" si="37"/>
        <v>12</v>
      </c>
      <c r="O120" s="19">
        <v>500</v>
      </c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 x14ac:dyDescent="0.2">
      <c r="A121" s="25" t="s">
        <v>49</v>
      </c>
      <c r="B121" s="28" t="s">
        <v>74</v>
      </c>
      <c r="C121" s="14">
        <v>90004</v>
      </c>
      <c r="D121" s="3" t="s">
        <v>25</v>
      </c>
      <c r="E121" s="3">
        <v>90001</v>
      </c>
      <c r="F121" s="15" t="s">
        <v>26</v>
      </c>
      <c r="G121" s="3"/>
      <c r="H121" s="26">
        <v>45581</v>
      </c>
      <c r="I121" s="17" t="s">
        <v>27</v>
      </c>
      <c r="J121" s="18">
        <f t="shared" si="36"/>
        <v>35.714285714285715</v>
      </c>
      <c r="K121" s="3">
        <v>8</v>
      </c>
      <c r="L121" s="3">
        <v>4</v>
      </c>
      <c r="M121" s="3"/>
      <c r="N121" s="3">
        <f t="shared" si="37"/>
        <v>12</v>
      </c>
      <c r="O121" s="19">
        <v>500</v>
      </c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 x14ac:dyDescent="0.2">
      <c r="A122" s="25" t="s">
        <v>49</v>
      </c>
      <c r="B122" s="28" t="s">
        <v>74</v>
      </c>
      <c r="C122" s="3">
        <v>90004</v>
      </c>
      <c r="D122" s="3" t="s">
        <v>25</v>
      </c>
      <c r="E122" s="3">
        <v>90001</v>
      </c>
      <c r="F122" s="15" t="s">
        <v>26</v>
      </c>
      <c r="G122" s="3"/>
      <c r="H122" s="26">
        <v>45582</v>
      </c>
      <c r="I122" s="17" t="s">
        <v>27</v>
      </c>
      <c r="J122" s="18">
        <f t="shared" si="36"/>
        <v>35.714285714285715</v>
      </c>
      <c r="K122" s="3">
        <v>8</v>
      </c>
      <c r="L122" s="3">
        <v>4</v>
      </c>
      <c r="M122" s="3"/>
      <c r="N122" s="3">
        <f t="shared" si="37"/>
        <v>12</v>
      </c>
      <c r="O122" s="19">
        <v>500</v>
      </c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 x14ac:dyDescent="0.2">
      <c r="A123" s="25" t="s">
        <v>49</v>
      </c>
      <c r="B123" s="28" t="s">
        <v>74</v>
      </c>
      <c r="C123" s="14">
        <v>90004</v>
      </c>
      <c r="D123" s="3" t="s">
        <v>25</v>
      </c>
      <c r="E123" s="3">
        <v>90001</v>
      </c>
      <c r="F123" s="15" t="s">
        <v>26</v>
      </c>
      <c r="G123" s="3"/>
      <c r="H123" s="26">
        <v>45583</v>
      </c>
      <c r="I123" s="17" t="s">
        <v>27</v>
      </c>
      <c r="J123" s="18">
        <f t="shared" si="36"/>
        <v>35.714285714285715</v>
      </c>
      <c r="K123" s="3">
        <v>8</v>
      </c>
      <c r="L123" s="3">
        <v>4</v>
      </c>
      <c r="M123" s="3"/>
      <c r="N123" s="3">
        <f t="shared" si="37"/>
        <v>12</v>
      </c>
      <c r="O123" s="19">
        <v>500</v>
      </c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 x14ac:dyDescent="0.2">
      <c r="A124" s="25" t="s">
        <v>49</v>
      </c>
      <c r="B124" s="28" t="s">
        <v>74</v>
      </c>
      <c r="C124" s="3">
        <v>90004</v>
      </c>
      <c r="D124" s="3" t="s">
        <v>25</v>
      </c>
      <c r="E124" s="3">
        <v>90001</v>
      </c>
      <c r="F124" s="15" t="s">
        <v>26</v>
      </c>
      <c r="G124" s="3"/>
      <c r="H124" s="26">
        <v>45584</v>
      </c>
      <c r="I124" s="17" t="s">
        <v>27</v>
      </c>
      <c r="J124" s="18">
        <f t="shared" si="36"/>
        <v>35.714285714285715</v>
      </c>
      <c r="K124" s="3">
        <v>8</v>
      </c>
      <c r="L124" s="3">
        <v>4</v>
      </c>
      <c r="M124" s="3"/>
      <c r="N124" s="3">
        <f t="shared" si="37"/>
        <v>12</v>
      </c>
      <c r="O124" s="19">
        <v>500</v>
      </c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 x14ac:dyDescent="0.2">
      <c r="A125" s="1" t="s">
        <v>50</v>
      </c>
      <c r="B125" s="28" t="s">
        <v>75</v>
      </c>
      <c r="C125" s="14">
        <v>90004</v>
      </c>
      <c r="D125" s="3" t="s">
        <v>25</v>
      </c>
      <c r="E125" s="3">
        <v>90001</v>
      </c>
      <c r="F125" s="15" t="s">
        <v>26</v>
      </c>
      <c r="G125" s="3"/>
      <c r="H125" s="16">
        <v>45583</v>
      </c>
      <c r="I125" s="17" t="s">
        <v>27</v>
      </c>
      <c r="J125" s="18">
        <v>18</v>
      </c>
      <c r="K125" s="3">
        <v>2</v>
      </c>
      <c r="L125" s="3"/>
      <c r="M125" s="3"/>
      <c r="N125" s="3">
        <f t="shared" si="37"/>
        <v>2</v>
      </c>
      <c r="O125" s="19">
        <f>J125*K125</f>
        <v>36</v>
      </c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 x14ac:dyDescent="0.2">
      <c r="A126" s="1" t="s">
        <v>50</v>
      </c>
      <c r="B126" s="28" t="s">
        <v>75</v>
      </c>
      <c r="C126" s="3">
        <v>90004</v>
      </c>
      <c r="D126" s="3" t="s">
        <v>25</v>
      </c>
      <c r="E126" s="3">
        <v>90001</v>
      </c>
      <c r="F126" s="15" t="s">
        <v>26</v>
      </c>
      <c r="G126" s="3"/>
      <c r="H126" s="16">
        <v>45584</v>
      </c>
      <c r="I126" s="17" t="s">
        <v>27</v>
      </c>
      <c r="J126" s="18">
        <f>O126/(K126+(L126*1.5)+(M126*2))</f>
        <v>32.25</v>
      </c>
      <c r="K126" s="3">
        <v>8</v>
      </c>
      <c r="L126" s="3">
        <v>4</v>
      </c>
      <c r="M126" s="3"/>
      <c r="N126" s="22">
        <f>SUM(K126:M126)</f>
        <v>12</v>
      </c>
      <c r="O126" s="20">
        <v>451.5</v>
      </c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 x14ac:dyDescent="0.2">
      <c r="A127" s="1" t="s">
        <v>50</v>
      </c>
      <c r="B127" s="28" t="s">
        <v>75</v>
      </c>
      <c r="C127" s="14">
        <v>90004</v>
      </c>
      <c r="D127" s="3" t="s">
        <v>25</v>
      </c>
      <c r="E127" s="3">
        <v>90001</v>
      </c>
      <c r="F127" s="15" t="s">
        <v>26</v>
      </c>
      <c r="G127" s="3"/>
      <c r="H127" s="16">
        <v>45583</v>
      </c>
      <c r="I127" s="17" t="s">
        <v>27</v>
      </c>
      <c r="J127" s="18">
        <v>18</v>
      </c>
      <c r="K127" s="3">
        <v>2</v>
      </c>
      <c r="L127" s="3"/>
      <c r="M127" s="3"/>
      <c r="N127" s="3">
        <f>IF(K127+L127+M127 =0,"", K127+L127+M127)</f>
        <v>2</v>
      </c>
      <c r="O127" s="19">
        <v>36</v>
      </c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 x14ac:dyDescent="0.2">
      <c r="A128" s="1" t="s">
        <v>50</v>
      </c>
      <c r="B128" s="28" t="s">
        <v>75</v>
      </c>
      <c r="C128" s="3">
        <v>90004</v>
      </c>
      <c r="D128" s="3" t="s">
        <v>25</v>
      </c>
      <c r="E128" s="3">
        <v>90001</v>
      </c>
      <c r="F128" s="15" t="s">
        <v>26</v>
      </c>
      <c r="G128" s="3"/>
      <c r="H128" s="16">
        <v>45584</v>
      </c>
      <c r="I128" s="17" t="s">
        <v>27</v>
      </c>
      <c r="J128" s="18">
        <f>O128/(K128+(L128*1.5)+(M128*2))</f>
        <v>26.928571428571434</v>
      </c>
      <c r="K128" s="3">
        <v>8</v>
      </c>
      <c r="L128" s="3">
        <v>4</v>
      </c>
      <c r="M128" s="3"/>
      <c r="N128" s="22">
        <f>SUM(K128:M128)</f>
        <v>12</v>
      </c>
      <c r="O128" s="20">
        <v>377.00000000000006</v>
      </c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 x14ac:dyDescent="0.2">
      <c r="A129" s="1" t="s">
        <v>50</v>
      </c>
      <c r="B129" s="28" t="s">
        <v>75</v>
      </c>
      <c r="C129" s="14">
        <v>90004</v>
      </c>
      <c r="D129" s="3" t="s">
        <v>25</v>
      </c>
      <c r="E129" s="3">
        <v>90001</v>
      </c>
      <c r="F129" s="15" t="s">
        <v>26</v>
      </c>
      <c r="G129" s="3"/>
      <c r="H129" s="16">
        <v>45583</v>
      </c>
      <c r="I129" s="17" t="s">
        <v>27</v>
      </c>
      <c r="J129" s="18">
        <v>18</v>
      </c>
      <c r="K129" s="3">
        <v>2</v>
      </c>
      <c r="L129" s="3"/>
      <c r="M129" s="3"/>
      <c r="N129" s="3">
        <f>IF(K129+L129+M129 =0,"", K129+L129+M129)</f>
        <v>2</v>
      </c>
      <c r="O129" s="19">
        <v>36</v>
      </c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 x14ac:dyDescent="0.2">
      <c r="A130" s="1" t="s">
        <v>50</v>
      </c>
      <c r="B130" s="28" t="s">
        <v>75</v>
      </c>
      <c r="C130" s="3">
        <v>90004</v>
      </c>
      <c r="D130" s="3" t="s">
        <v>25</v>
      </c>
      <c r="E130" s="3">
        <v>90001</v>
      </c>
      <c r="F130" s="15" t="s">
        <v>26</v>
      </c>
      <c r="G130" s="3"/>
      <c r="H130" s="16">
        <v>45584</v>
      </c>
      <c r="I130" s="17" t="s">
        <v>27</v>
      </c>
      <c r="J130" s="18">
        <f>O130/(K130+(L130*1.5)+(M130*2))</f>
        <v>27.892857142857139</v>
      </c>
      <c r="K130" s="3">
        <v>8</v>
      </c>
      <c r="L130" s="3">
        <v>4</v>
      </c>
      <c r="M130" s="3"/>
      <c r="N130" s="22">
        <f>SUM(K130:M130)</f>
        <v>12</v>
      </c>
      <c r="O130" s="20">
        <v>390.49999999999994</v>
      </c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 x14ac:dyDescent="0.2">
      <c r="A131" s="1" t="s">
        <v>50</v>
      </c>
      <c r="B131" s="28" t="s">
        <v>75</v>
      </c>
      <c r="C131" s="14">
        <v>90004</v>
      </c>
      <c r="D131" s="3" t="s">
        <v>25</v>
      </c>
      <c r="E131" s="3">
        <v>90001</v>
      </c>
      <c r="F131" s="15" t="s">
        <v>26</v>
      </c>
      <c r="G131" s="3"/>
      <c r="H131" s="16">
        <v>45582</v>
      </c>
      <c r="I131" s="17" t="s">
        <v>27</v>
      </c>
      <c r="J131" s="18">
        <v>18</v>
      </c>
      <c r="K131" s="3">
        <v>2</v>
      </c>
      <c r="L131" s="3"/>
      <c r="M131" s="3"/>
      <c r="N131" s="3">
        <f>IF(K131+L131+M131 =0,"", K131+L131+M131)</f>
        <v>2</v>
      </c>
      <c r="O131" s="19">
        <f>J131*K131</f>
        <v>36</v>
      </c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 x14ac:dyDescent="0.2">
      <c r="A132" s="1" t="s">
        <v>50</v>
      </c>
      <c r="B132" s="28" t="s">
        <v>75</v>
      </c>
      <c r="C132" s="3">
        <v>90004</v>
      </c>
      <c r="D132" s="3" t="s">
        <v>25</v>
      </c>
      <c r="E132" s="3">
        <v>90001</v>
      </c>
      <c r="F132" s="15" t="s">
        <v>26</v>
      </c>
      <c r="G132" s="3"/>
      <c r="H132" s="16">
        <v>45583</v>
      </c>
      <c r="I132" s="17" t="s">
        <v>27</v>
      </c>
      <c r="J132" s="18">
        <f t="shared" ref="J132:J133" si="38">O132/(K132+(L132*1.5)+(M132*2))</f>
        <v>32.535714285714292</v>
      </c>
      <c r="K132" s="3">
        <v>8</v>
      </c>
      <c r="L132" s="3">
        <v>4</v>
      </c>
      <c r="M132" s="3"/>
      <c r="N132" s="22">
        <f t="shared" ref="N132:N133" si="39">SUM(K132:M132)</f>
        <v>12</v>
      </c>
      <c r="O132" s="20">
        <v>455.50000000000006</v>
      </c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 x14ac:dyDescent="0.2">
      <c r="A133" s="1" t="s">
        <v>37</v>
      </c>
      <c r="B133" s="28" t="s">
        <v>76</v>
      </c>
      <c r="C133" s="14">
        <v>90004</v>
      </c>
      <c r="D133" s="3" t="s">
        <v>25</v>
      </c>
      <c r="E133" s="3">
        <v>90001</v>
      </c>
      <c r="F133" s="15" t="s">
        <v>26</v>
      </c>
      <c r="G133" s="3"/>
      <c r="H133" s="16">
        <v>45584</v>
      </c>
      <c r="I133" s="17" t="s">
        <v>27</v>
      </c>
      <c r="J133" s="18">
        <f t="shared" si="38"/>
        <v>32.535714285714292</v>
      </c>
      <c r="K133" s="3">
        <v>8</v>
      </c>
      <c r="L133" s="3">
        <v>4</v>
      </c>
      <c r="M133" s="3"/>
      <c r="N133" s="22">
        <f t="shared" si="39"/>
        <v>12</v>
      </c>
      <c r="O133" s="20">
        <v>455.50000000000006</v>
      </c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 x14ac:dyDescent="0.2">
      <c r="A134" s="1" t="s">
        <v>37</v>
      </c>
      <c r="B134" s="28" t="s">
        <v>76</v>
      </c>
      <c r="C134" s="3">
        <v>90004</v>
      </c>
      <c r="D134" s="3" t="s">
        <v>25</v>
      </c>
      <c r="E134" s="3">
        <v>90001</v>
      </c>
      <c r="F134" s="15" t="s">
        <v>26</v>
      </c>
      <c r="G134" s="3"/>
      <c r="H134" s="16">
        <v>45583</v>
      </c>
      <c r="I134" s="17" t="s">
        <v>27</v>
      </c>
      <c r="J134" s="18">
        <v>18</v>
      </c>
      <c r="K134" s="3">
        <v>2</v>
      </c>
      <c r="L134" s="3"/>
      <c r="M134" s="3"/>
      <c r="N134" s="3">
        <f>IF(K134+L134+M134 =0,"", K134+L134+M134)</f>
        <v>2</v>
      </c>
      <c r="O134" s="19">
        <f>J134*K134</f>
        <v>36</v>
      </c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 x14ac:dyDescent="0.2">
      <c r="A135" s="1" t="s">
        <v>37</v>
      </c>
      <c r="B135" s="28" t="s">
        <v>76</v>
      </c>
      <c r="C135" s="14">
        <v>90004</v>
      </c>
      <c r="D135" s="3" t="s">
        <v>25</v>
      </c>
      <c r="E135" s="3">
        <v>90001</v>
      </c>
      <c r="F135" s="15" t="s">
        <v>26</v>
      </c>
      <c r="G135" s="3"/>
      <c r="H135" s="16">
        <v>45584</v>
      </c>
      <c r="I135" s="17" t="s">
        <v>27</v>
      </c>
      <c r="J135" s="18">
        <f>O135/(K135+(L135*1.5)+(M135*2))</f>
        <v>32.732142857142861</v>
      </c>
      <c r="K135" s="3">
        <v>8</v>
      </c>
      <c r="L135" s="3">
        <v>4</v>
      </c>
      <c r="M135" s="3"/>
      <c r="N135" s="22">
        <f>SUM(K135:M135)</f>
        <v>12</v>
      </c>
      <c r="O135" s="20">
        <v>458.25000000000006</v>
      </c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 x14ac:dyDescent="0.2">
      <c r="A136" s="1" t="s">
        <v>51</v>
      </c>
      <c r="B136" s="28" t="s">
        <v>77</v>
      </c>
      <c r="C136" s="3">
        <v>90004</v>
      </c>
      <c r="D136" s="3" t="s">
        <v>25</v>
      </c>
      <c r="E136" s="3">
        <v>90001</v>
      </c>
      <c r="F136" s="15" t="s">
        <v>26</v>
      </c>
      <c r="G136" s="3"/>
      <c r="H136" s="16">
        <v>45582</v>
      </c>
      <c r="I136" s="17" t="s">
        <v>27</v>
      </c>
      <c r="J136" s="18">
        <v>18</v>
      </c>
      <c r="K136" s="3">
        <v>1.5</v>
      </c>
      <c r="L136" s="3"/>
      <c r="M136" s="3"/>
      <c r="N136" s="3">
        <f t="shared" ref="N136:N139" si="40">IF(K136+L136+M136 =0,"", K136+L136+M136)</f>
        <v>1.5</v>
      </c>
      <c r="O136" s="19">
        <f>J136*K136</f>
        <v>27</v>
      </c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 x14ac:dyDescent="0.2">
      <c r="A137" s="1" t="s">
        <v>51</v>
      </c>
      <c r="B137" s="28" t="s">
        <v>77</v>
      </c>
      <c r="C137" s="14">
        <v>90004</v>
      </c>
      <c r="D137" s="3" t="s">
        <v>25</v>
      </c>
      <c r="E137" s="3">
        <v>90001</v>
      </c>
      <c r="F137" s="15" t="s">
        <v>26</v>
      </c>
      <c r="G137" s="3"/>
      <c r="H137" s="16">
        <v>45583</v>
      </c>
      <c r="I137" s="17" t="s">
        <v>27</v>
      </c>
      <c r="J137" s="18">
        <f t="shared" ref="J137:J138" si="41">O137/(K137+(L137*1.5)+(M137*2))</f>
        <v>31.035714285714285</v>
      </c>
      <c r="K137" s="3">
        <v>8</v>
      </c>
      <c r="L137" s="3">
        <v>4</v>
      </c>
      <c r="M137" s="3"/>
      <c r="N137" s="3">
        <f t="shared" si="40"/>
        <v>12</v>
      </c>
      <c r="O137" s="20">
        <v>434.5</v>
      </c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 x14ac:dyDescent="0.2">
      <c r="A138" s="1" t="s">
        <v>51</v>
      </c>
      <c r="B138" s="3" t="s">
        <v>77</v>
      </c>
      <c r="C138" s="3">
        <v>90004</v>
      </c>
      <c r="D138" s="3" t="s">
        <v>25</v>
      </c>
      <c r="E138" s="3">
        <v>90001</v>
      </c>
      <c r="F138" s="15" t="s">
        <v>26</v>
      </c>
      <c r="G138" s="3"/>
      <c r="H138" s="16">
        <v>45584</v>
      </c>
      <c r="I138" s="17" t="s">
        <v>27</v>
      </c>
      <c r="J138" s="18">
        <f t="shared" si="41"/>
        <v>31.035714285714285</v>
      </c>
      <c r="K138" s="3">
        <v>8</v>
      </c>
      <c r="L138" s="3">
        <v>4</v>
      </c>
      <c r="M138" s="3"/>
      <c r="N138" s="3">
        <f t="shared" si="40"/>
        <v>12</v>
      </c>
      <c r="O138" s="20">
        <v>434.5</v>
      </c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 x14ac:dyDescent="0.2">
      <c r="A139" s="27" t="s">
        <v>52</v>
      </c>
      <c r="B139" s="28" t="s">
        <v>78</v>
      </c>
      <c r="C139" s="14">
        <v>90004</v>
      </c>
      <c r="D139" s="3" t="s">
        <v>25</v>
      </c>
      <c r="E139" s="3">
        <v>90001</v>
      </c>
      <c r="F139" s="15" t="s">
        <v>26</v>
      </c>
      <c r="G139" s="3"/>
      <c r="H139" s="16">
        <v>45583</v>
      </c>
      <c r="I139" s="17" t="s">
        <v>27</v>
      </c>
      <c r="J139" s="18">
        <v>18</v>
      </c>
      <c r="K139" s="3">
        <v>4</v>
      </c>
      <c r="L139" s="3"/>
      <c r="M139" s="3"/>
      <c r="N139" s="3">
        <f t="shared" si="40"/>
        <v>4</v>
      </c>
      <c r="O139" s="19">
        <f>K139*J139</f>
        <v>72</v>
      </c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 x14ac:dyDescent="0.2">
      <c r="A140" s="27" t="s">
        <v>52</v>
      </c>
      <c r="B140" s="28" t="s">
        <v>78</v>
      </c>
      <c r="C140" s="3">
        <v>90004</v>
      </c>
      <c r="D140" s="3" t="s">
        <v>25</v>
      </c>
      <c r="E140" s="3">
        <v>90001</v>
      </c>
      <c r="F140" s="15" t="s">
        <v>26</v>
      </c>
      <c r="G140" s="3"/>
      <c r="H140" s="16">
        <v>45584</v>
      </c>
      <c r="I140" s="17" t="s">
        <v>27</v>
      </c>
      <c r="J140" s="18">
        <f>O140/(K140+(L140*1.5)+(M140*2))</f>
        <v>27.25</v>
      </c>
      <c r="K140" s="3">
        <v>8</v>
      </c>
      <c r="L140" s="3">
        <v>4</v>
      </c>
      <c r="M140" s="3"/>
      <c r="N140" s="22">
        <f>SUM(K140:M140)</f>
        <v>12</v>
      </c>
      <c r="O140" s="20">
        <v>381.5</v>
      </c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 x14ac:dyDescent="0.2">
      <c r="A141" s="27" t="s">
        <v>52</v>
      </c>
      <c r="B141" s="28" t="s">
        <v>78</v>
      </c>
      <c r="C141" s="14">
        <v>90004</v>
      </c>
      <c r="D141" s="3" t="s">
        <v>25</v>
      </c>
      <c r="E141" s="3">
        <v>90001</v>
      </c>
      <c r="F141" s="15" t="s">
        <v>26</v>
      </c>
      <c r="G141" s="3"/>
      <c r="H141" s="16">
        <v>45583</v>
      </c>
      <c r="I141" s="17" t="s">
        <v>27</v>
      </c>
      <c r="J141" s="18">
        <v>18</v>
      </c>
      <c r="K141" s="3">
        <v>3</v>
      </c>
      <c r="L141" s="3"/>
      <c r="M141" s="3"/>
      <c r="N141" s="3">
        <f>IF(K141+L141+M141 =0,"", K141+L141+M141)</f>
        <v>3</v>
      </c>
      <c r="O141" s="19">
        <f>J141*K141</f>
        <v>54</v>
      </c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 x14ac:dyDescent="0.2">
      <c r="A142" s="27" t="s">
        <v>52</v>
      </c>
      <c r="B142" s="28" t="s">
        <v>78</v>
      </c>
      <c r="C142" s="3">
        <v>90004</v>
      </c>
      <c r="D142" s="3" t="s">
        <v>25</v>
      </c>
      <c r="E142" s="3">
        <v>90001</v>
      </c>
      <c r="F142" s="15" t="s">
        <v>26</v>
      </c>
      <c r="G142" s="3"/>
      <c r="H142" s="16">
        <v>45584</v>
      </c>
      <c r="I142" s="17" t="s">
        <v>27</v>
      </c>
      <c r="J142" s="18">
        <f>O142/(K142+(L142*1.5)+(M142*2))</f>
        <v>26.928571428571434</v>
      </c>
      <c r="K142" s="3">
        <v>8</v>
      </c>
      <c r="L142" s="3">
        <v>4</v>
      </c>
      <c r="M142" s="3"/>
      <c r="N142" s="22">
        <f>SUM(K142:M142)</f>
        <v>12</v>
      </c>
      <c r="O142" s="20">
        <v>377.00000000000006</v>
      </c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 x14ac:dyDescent="0.2">
      <c r="A143" s="27" t="s">
        <v>52</v>
      </c>
      <c r="B143" s="28" t="s">
        <v>78</v>
      </c>
      <c r="C143" s="14">
        <v>90004</v>
      </c>
      <c r="D143" s="3" t="s">
        <v>25</v>
      </c>
      <c r="E143" s="3">
        <v>90001</v>
      </c>
      <c r="F143" s="15" t="s">
        <v>26</v>
      </c>
      <c r="G143" s="3"/>
      <c r="H143" s="16">
        <v>45583</v>
      </c>
      <c r="I143" s="17" t="s">
        <v>27</v>
      </c>
      <c r="J143" s="18">
        <v>18</v>
      </c>
      <c r="K143" s="3">
        <v>2</v>
      </c>
      <c r="L143" s="3"/>
      <c r="M143" s="3"/>
      <c r="N143" s="3">
        <v>2</v>
      </c>
      <c r="O143" s="19">
        <f>J143*K143</f>
        <v>36</v>
      </c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 x14ac:dyDescent="0.2">
      <c r="A144" s="27" t="s">
        <v>52</v>
      </c>
      <c r="B144" s="28" t="s">
        <v>78</v>
      </c>
      <c r="C144" s="3">
        <v>90004</v>
      </c>
      <c r="D144" s="3" t="s">
        <v>25</v>
      </c>
      <c r="E144" s="3">
        <v>90001</v>
      </c>
      <c r="F144" s="15" t="s">
        <v>26</v>
      </c>
      <c r="G144" s="3"/>
      <c r="H144" s="16">
        <v>45584</v>
      </c>
      <c r="I144" s="17" t="s">
        <v>27</v>
      </c>
      <c r="J144" s="18">
        <f>O144/(K144+(L144*1.5)+(M144*2))</f>
        <v>26.607142857142858</v>
      </c>
      <c r="K144" s="3">
        <v>8</v>
      </c>
      <c r="L144" s="3">
        <v>4</v>
      </c>
      <c r="M144" s="3"/>
      <c r="N144" s="22">
        <f>SUM(K144:M144)</f>
        <v>12</v>
      </c>
      <c r="O144" s="20">
        <v>372.5</v>
      </c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 x14ac:dyDescent="0.2">
      <c r="A145" s="24" t="s">
        <v>53</v>
      </c>
      <c r="B145" s="28" t="s">
        <v>79</v>
      </c>
      <c r="C145" s="14">
        <v>90004</v>
      </c>
      <c r="D145" s="3" t="s">
        <v>25</v>
      </c>
      <c r="E145" s="3">
        <v>90001</v>
      </c>
      <c r="F145" s="15" t="s">
        <v>26</v>
      </c>
      <c r="G145" s="3"/>
      <c r="H145" s="16">
        <v>45583</v>
      </c>
      <c r="I145" s="17" t="s">
        <v>27</v>
      </c>
      <c r="J145" s="18">
        <v>18</v>
      </c>
      <c r="K145" s="3">
        <v>2</v>
      </c>
      <c r="L145" s="3"/>
      <c r="M145" s="3"/>
      <c r="N145" s="3">
        <f>IF(K145+L145+M145 =0,"", K145+L145+M145)</f>
        <v>2</v>
      </c>
      <c r="O145" s="19">
        <f>J145*K145</f>
        <v>36</v>
      </c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 x14ac:dyDescent="0.2">
      <c r="A146" s="24" t="s">
        <v>53</v>
      </c>
      <c r="B146" s="28" t="s">
        <v>79</v>
      </c>
      <c r="C146" s="3">
        <v>90004</v>
      </c>
      <c r="D146" s="3" t="s">
        <v>25</v>
      </c>
      <c r="E146" s="3">
        <v>90001</v>
      </c>
      <c r="F146" s="15" t="s">
        <v>26</v>
      </c>
      <c r="G146" s="3"/>
      <c r="H146" s="16">
        <v>45584</v>
      </c>
      <c r="I146" s="17" t="s">
        <v>27</v>
      </c>
      <c r="J146" s="18">
        <f t="shared" ref="J146:J150" si="42">O146/(K146+(L146*1.5)+(M146*2))</f>
        <v>30.482142857142858</v>
      </c>
      <c r="K146" s="3">
        <v>8</v>
      </c>
      <c r="L146" s="3">
        <v>4</v>
      </c>
      <c r="M146" s="3"/>
      <c r="N146" s="22">
        <f t="shared" ref="N146:N150" si="43">SUM(K146:M146)</f>
        <v>12</v>
      </c>
      <c r="O146" s="20">
        <v>426.75</v>
      </c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 x14ac:dyDescent="0.2">
      <c r="A147" s="24" t="s">
        <v>53</v>
      </c>
      <c r="B147" s="28" t="s">
        <v>79</v>
      </c>
      <c r="C147" s="14">
        <v>90004</v>
      </c>
      <c r="D147" s="3" t="s">
        <v>25</v>
      </c>
      <c r="E147" s="3">
        <v>90001</v>
      </c>
      <c r="F147" s="15" t="s">
        <v>26</v>
      </c>
      <c r="G147" s="3"/>
      <c r="H147" s="16">
        <v>45581</v>
      </c>
      <c r="I147" s="17" t="s">
        <v>27</v>
      </c>
      <c r="J147" s="18">
        <f t="shared" si="42"/>
        <v>31.400000000000002</v>
      </c>
      <c r="K147" s="3">
        <v>8</v>
      </c>
      <c r="L147" s="3">
        <v>4</v>
      </c>
      <c r="M147" s="3"/>
      <c r="N147" s="22">
        <f t="shared" si="43"/>
        <v>12</v>
      </c>
      <c r="O147" s="20">
        <v>439.6</v>
      </c>
      <c r="P147" s="18"/>
      <c r="Q147" s="18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 x14ac:dyDescent="0.2">
      <c r="A148" s="24" t="s">
        <v>53</v>
      </c>
      <c r="B148" s="28" t="s">
        <v>79</v>
      </c>
      <c r="C148" s="3">
        <v>90004</v>
      </c>
      <c r="D148" s="3" t="s">
        <v>25</v>
      </c>
      <c r="E148" s="3">
        <v>90001</v>
      </c>
      <c r="F148" s="15" t="s">
        <v>26</v>
      </c>
      <c r="G148" s="3"/>
      <c r="H148" s="16">
        <v>45582</v>
      </c>
      <c r="I148" s="17" t="s">
        <v>27</v>
      </c>
      <c r="J148" s="18">
        <f t="shared" si="42"/>
        <v>31.400000000000002</v>
      </c>
      <c r="K148" s="3">
        <v>8</v>
      </c>
      <c r="L148" s="3">
        <v>4</v>
      </c>
      <c r="M148" s="3"/>
      <c r="N148" s="22">
        <f t="shared" si="43"/>
        <v>12</v>
      </c>
      <c r="O148" s="20">
        <v>439.6</v>
      </c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 x14ac:dyDescent="0.2">
      <c r="A149" s="24" t="s">
        <v>53</v>
      </c>
      <c r="B149" s="28" t="s">
        <v>79</v>
      </c>
      <c r="C149" s="14">
        <v>90004</v>
      </c>
      <c r="D149" s="3" t="s">
        <v>25</v>
      </c>
      <c r="E149" s="3">
        <v>90001</v>
      </c>
      <c r="F149" s="15" t="s">
        <v>26</v>
      </c>
      <c r="G149" s="3"/>
      <c r="H149" s="16">
        <v>45583</v>
      </c>
      <c r="I149" s="17" t="s">
        <v>27</v>
      </c>
      <c r="J149" s="18">
        <f t="shared" si="42"/>
        <v>31.400000000000002</v>
      </c>
      <c r="K149" s="3">
        <v>8</v>
      </c>
      <c r="L149" s="3">
        <v>4</v>
      </c>
      <c r="M149" s="3"/>
      <c r="N149" s="22">
        <f t="shared" si="43"/>
        <v>12</v>
      </c>
      <c r="O149" s="20">
        <v>439.6</v>
      </c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 x14ac:dyDescent="0.2">
      <c r="A150" s="24" t="s">
        <v>53</v>
      </c>
      <c r="B150" s="28" t="s">
        <v>79</v>
      </c>
      <c r="C150" s="3">
        <v>90004</v>
      </c>
      <c r="D150" s="3" t="s">
        <v>25</v>
      </c>
      <c r="E150" s="3">
        <v>90001</v>
      </c>
      <c r="F150" s="15" t="s">
        <v>26</v>
      </c>
      <c r="G150" s="3"/>
      <c r="H150" s="16">
        <v>45584</v>
      </c>
      <c r="I150" s="17" t="s">
        <v>27</v>
      </c>
      <c r="J150" s="18">
        <f t="shared" si="42"/>
        <v>31.400000000000002</v>
      </c>
      <c r="K150" s="3">
        <v>8</v>
      </c>
      <c r="L150" s="3">
        <v>4</v>
      </c>
      <c r="M150" s="3"/>
      <c r="N150" s="22">
        <f t="shared" si="43"/>
        <v>12</v>
      </c>
      <c r="O150" s="20">
        <v>439.6</v>
      </c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 x14ac:dyDescent="0.2">
      <c r="A151" s="1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 t="str">
        <f t="shared" ref="N151:N405" si="44">IF(K151+L151+M151 =0,"", K151+L151+M151)</f>
        <v/>
      </c>
      <c r="O151" s="19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 x14ac:dyDescent="0.2">
      <c r="A152" s="1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 t="str">
        <f t="shared" si="44"/>
        <v/>
      </c>
      <c r="O152" s="19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 x14ac:dyDescent="0.2">
      <c r="A153" s="1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 t="str">
        <f t="shared" si="44"/>
        <v/>
      </c>
      <c r="O153" s="19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 x14ac:dyDescent="0.2">
      <c r="A154" s="1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 t="str">
        <f t="shared" si="44"/>
        <v/>
      </c>
      <c r="O154" s="19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 x14ac:dyDescent="0.2">
      <c r="A155" s="1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 t="str">
        <f t="shared" si="44"/>
        <v/>
      </c>
      <c r="O155" s="19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 x14ac:dyDescent="0.2">
      <c r="A156" s="1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 t="str">
        <f t="shared" si="44"/>
        <v/>
      </c>
      <c r="O156" s="19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 x14ac:dyDescent="0.2">
      <c r="A157" s="1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 t="str">
        <f t="shared" si="44"/>
        <v/>
      </c>
      <c r="O157" s="19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 x14ac:dyDescent="0.2">
      <c r="A158" s="1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 t="str">
        <f t="shared" si="44"/>
        <v/>
      </c>
      <c r="O158" s="19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 x14ac:dyDescent="0.2">
      <c r="A159" s="1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 t="str">
        <f t="shared" si="44"/>
        <v/>
      </c>
      <c r="O159" s="19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 x14ac:dyDescent="0.2">
      <c r="A160" s="1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 t="str">
        <f t="shared" si="44"/>
        <v/>
      </c>
      <c r="O160" s="19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 x14ac:dyDescent="0.2">
      <c r="A161" s="1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 t="str">
        <f t="shared" si="44"/>
        <v/>
      </c>
      <c r="O161" s="19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 x14ac:dyDescent="0.2">
      <c r="A162" s="1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 t="str">
        <f t="shared" si="44"/>
        <v/>
      </c>
      <c r="O162" s="19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 x14ac:dyDescent="0.2">
      <c r="A163" s="1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 t="str">
        <f t="shared" si="44"/>
        <v/>
      </c>
      <c r="O163" s="19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 x14ac:dyDescent="0.2">
      <c r="A164" s="1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 t="str">
        <f t="shared" si="44"/>
        <v/>
      </c>
      <c r="O164" s="19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 x14ac:dyDescent="0.2">
      <c r="A165" s="1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 t="str">
        <f t="shared" si="44"/>
        <v/>
      </c>
      <c r="O165" s="19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 x14ac:dyDescent="0.2">
      <c r="A166" s="1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 t="str">
        <f t="shared" si="44"/>
        <v/>
      </c>
      <c r="O166" s="19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 x14ac:dyDescent="0.2">
      <c r="A167" s="1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 t="str">
        <f t="shared" si="44"/>
        <v/>
      </c>
      <c r="O167" s="19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 x14ac:dyDescent="0.2">
      <c r="A168" s="1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 t="str">
        <f t="shared" si="44"/>
        <v/>
      </c>
      <c r="O168" s="19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 x14ac:dyDescent="0.2">
      <c r="A169" s="1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 t="str">
        <f t="shared" si="44"/>
        <v/>
      </c>
      <c r="O169" s="19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 x14ac:dyDescent="0.2">
      <c r="A170" s="1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 t="str">
        <f t="shared" si="44"/>
        <v/>
      </c>
      <c r="O170" s="19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 x14ac:dyDescent="0.2">
      <c r="A171" s="1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 t="str">
        <f t="shared" si="44"/>
        <v/>
      </c>
      <c r="O171" s="19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 x14ac:dyDescent="0.2">
      <c r="A172" s="1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 t="str">
        <f t="shared" si="44"/>
        <v/>
      </c>
      <c r="O172" s="19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 x14ac:dyDescent="0.2">
      <c r="A173" s="1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 t="str">
        <f t="shared" si="44"/>
        <v/>
      </c>
      <c r="O173" s="19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 x14ac:dyDescent="0.2">
      <c r="A174" s="1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 t="str">
        <f t="shared" si="44"/>
        <v/>
      </c>
      <c r="O174" s="19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 x14ac:dyDescent="0.2">
      <c r="A175" s="1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 t="str">
        <f t="shared" si="44"/>
        <v/>
      </c>
      <c r="O175" s="19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 x14ac:dyDescent="0.2">
      <c r="A176" s="1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 t="str">
        <f t="shared" si="44"/>
        <v/>
      </c>
      <c r="O176" s="19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 x14ac:dyDescent="0.2">
      <c r="A177" s="1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 t="str">
        <f t="shared" si="44"/>
        <v/>
      </c>
      <c r="O177" s="19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 x14ac:dyDescent="0.2">
      <c r="A178" s="1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 t="str">
        <f t="shared" si="44"/>
        <v/>
      </c>
      <c r="O178" s="19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 x14ac:dyDescent="0.2">
      <c r="A179" s="1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 t="str">
        <f t="shared" si="44"/>
        <v/>
      </c>
      <c r="O179" s="19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 x14ac:dyDescent="0.2">
      <c r="A180" s="1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 t="str">
        <f t="shared" si="44"/>
        <v/>
      </c>
      <c r="O180" s="19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 x14ac:dyDescent="0.2">
      <c r="A181" s="1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 t="str">
        <f t="shared" si="44"/>
        <v/>
      </c>
      <c r="O181" s="19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 x14ac:dyDescent="0.2">
      <c r="A182" s="1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 t="str">
        <f t="shared" si="44"/>
        <v/>
      </c>
      <c r="O182" s="19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 x14ac:dyDescent="0.2">
      <c r="A183" s="1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 t="str">
        <f t="shared" si="44"/>
        <v/>
      </c>
      <c r="O183" s="19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 x14ac:dyDescent="0.2">
      <c r="A184" s="1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 t="str">
        <f t="shared" si="44"/>
        <v/>
      </c>
      <c r="O184" s="19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 x14ac:dyDescent="0.2">
      <c r="A185" s="1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 t="str">
        <f t="shared" si="44"/>
        <v/>
      </c>
      <c r="O185" s="19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 x14ac:dyDescent="0.2">
      <c r="A186" s="1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 t="str">
        <f t="shared" si="44"/>
        <v/>
      </c>
      <c r="O186" s="19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 x14ac:dyDescent="0.2">
      <c r="A187" s="1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 t="str">
        <f t="shared" si="44"/>
        <v/>
      </c>
      <c r="O187" s="19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 x14ac:dyDescent="0.2">
      <c r="A188" s="1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 t="str">
        <f t="shared" si="44"/>
        <v/>
      </c>
      <c r="O188" s="19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 x14ac:dyDescent="0.2">
      <c r="A189" s="1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 t="str">
        <f t="shared" si="44"/>
        <v/>
      </c>
      <c r="O189" s="19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 x14ac:dyDescent="0.2">
      <c r="A190" s="1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 t="str">
        <f t="shared" si="44"/>
        <v/>
      </c>
      <c r="O190" s="19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 x14ac:dyDescent="0.2">
      <c r="A191" s="1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 t="str">
        <f t="shared" si="44"/>
        <v/>
      </c>
      <c r="O191" s="19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 x14ac:dyDescent="0.2">
      <c r="A192" s="1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 t="str">
        <f t="shared" si="44"/>
        <v/>
      </c>
      <c r="O192" s="19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 x14ac:dyDescent="0.2">
      <c r="A193" s="1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 t="str">
        <f t="shared" si="44"/>
        <v/>
      </c>
      <c r="O193" s="19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 x14ac:dyDescent="0.2">
      <c r="A194" s="1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 t="str">
        <f t="shared" si="44"/>
        <v/>
      </c>
      <c r="O194" s="19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 x14ac:dyDescent="0.2">
      <c r="A195" s="1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 t="str">
        <f t="shared" si="44"/>
        <v/>
      </c>
      <c r="O195" s="19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 x14ac:dyDescent="0.2">
      <c r="A196" s="1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 t="str">
        <f t="shared" si="44"/>
        <v/>
      </c>
      <c r="O196" s="19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 x14ac:dyDescent="0.2">
      <c r="A197" s="1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 t="str">
        <f t="shared" si="44"/>
        <v/>
      </c>
      <c r="O197" s="19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 x14ac:dyDescent="0.2">
      <c r="A198" s="1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 t="str">
        <f t="shared" si="44"/>
        <v/>
      </c>
      <c r="O198" s="19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 x14ac:dyDescent="0.2">
      <c r="A199" s="1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 t="str">
        <f t="shared" si="44"/>
        <v/>
      </c>
      <c r="O199" s="19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 x14ac:dyDescent="0.2">
      <c r="A200" s="1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 t="str">
        <f t="shared" si="44"/>
        <v/>
      </c>
      <c r="O200" s="19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 x14ac:dyDescent="0.2">
      <c r="A201" s="1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 t="str">
        <f t="shared" si="44"/>
        <v/>
      </c>
      <c r="O201" s="19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 x14ac:dyDescent="0.2">
      <c r="A202" s="1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 t="str">
        <f t="shared" si="44"/>
        <v/>
      </c>
      <c r="O202" s="19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 x14ac:dyDescent="0.2">
      <c r="A203" s="1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 t="str">
        <f t="shared" si="44"/>
        <v/>
      </c>
      <c r="O203" s="19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 x14ac:dyDescent="0.2">
      <c r="A204" s="1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 t="str">
        <f t="shared" si="44"/>
        <v/>
      </c>
      <c r="O204" s="19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 x14ac:dyDescent="0.2">
      <c r="A205" s="1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 t="str">
        <f t="shared" si="44"/>
        <v/>
      </c>
      <c r="O205" s="19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 x14ac:dyDescent="0.2">
      <c r="A206" s="1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 t="str">
        <f t="shared" si="44"/>
        <v/>
      </c>
      <c r="O206" s="19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 x14ac:dyDescent="0.2">
      <c r="A207" s="1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 t="str">
        <f t="shared" si="44"/>
        <v/>
      </c>
      <c r="O207" s="19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 x14ac:dyDescent="0.2">
      <c r="A208" s="1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 t="str">
        <f t="shared" si="44"/>
        <v/>
      </c>
      <c r="O208" s="19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 x14ac:dyDescent="0.2">
      <c r="A209" s="1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 t="str">
        <f t="shared" si="44"/>
        <v/>
      </c>
      <c r="O209" s="19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 x14ac:dyDescent="0.2">
      <c r="A210" s="1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 t="str">
        <f t="shared" si="44"/>
        <v/>
      </c>
      <c r="O210" s="19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 x14ac:dyDescent="0.2">
      <c r="A211" s="1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 t="str">
        <f t="shared" si="44"/>
        <v/>
      </c>
      <c r="O211" s="19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 x14ac:dyDescent="0.2">
      <c r="A212" s="1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 t="str">
        <f t="shared" si="44"/>
        <v/>
      </c>
      <c r="O212" s="19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 x14ac:dyDescent="0.2">
      <c r="A213" s="1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 t="str">
        <f t="shared" si="44"/>
        <v/>
      </c>
      <c r="O213" s="19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 x14ac:dyDescent="0.2">
      <c r="A214" s="1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 t="str">
        <f t="shared" si="44"/>
        <v/>
      </c>
      <c r="O214" s="19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 x14ac:dyDescent="0.2">
      <c r="A215" s="1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 t="str">
        <f t="shared" si="44"/>
        <v/>
      </c>
      <c r="O215" s="19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 x14ac:dyDescent="0.2">
      <c r="A216" s="1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 t="str">
        <f t="shared" si="44"/>
        <v/>
      </c>
      <c r="O216" s="19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 x14ac:dyDescent="0.2">
      <c r="A217" s="1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 t="str">
        <f t="shared" si="44"/>
        <v/>
      </c>
      <c r="O217" s="19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 x14ac:dyDescent="0.2">
      <c r="A218" s="1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 t="str">
        <f t="shared" si="44"/>
        <v/>
      </c>
      <c r="O218" s="19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 x14ac:dyDescent="0.2">
      <c r="A219" s="1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 t="str">
        <f t="shared" si="44"/>
        <v/>
      </c>
      <c r="O219" s="19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 x14ac:dyDescent="0.2">
      <c r="A220" s="1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 t="str">
        <f t="shared" si="44"/>
        <v/>
      </c>
      <c r="O220" s="19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 x14ac:dyDescent="0.2">
      <c r="A221" s="1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 t="str">
        <f t="shared" si="44"/>
        <v/>
      </c>
      <c r="O221" s="19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 x14ac:dyDescent="0.2">
      <c r="A222" s="1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 t="str">
        <f t="shared" si="44"/>
        <v/>
      </c>
      <c r="O222" s="19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 x14ac:dyDescent="0.2">
      <c r="A223" s="1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 t="str">
        <f t="shared" si="44"/>
        <v/>
      </c>
      <c r="O223" s="19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 x14ac:dyDescent="0.2">
      <c r="A224" s="1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 t="str">
        <f t="shared" si="44"/>
        <v/>
      </c>
      <c r="O224" s="19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 x14ac:dyDescent="0.2">
      <c r="A225" s="1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 t="str">
        <f t="shared" si="44"/>
        <v/>
      </c>
      <c r="O225" s="19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 x14ac:dyDescent="0.2">
      <c r="A226" s="1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 t="str">
        <f t="shared" si="44"/>
        <v/>
      </c>
      <c r="O226" s="19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 x14ac:dyDescent="0.2">
      <c r="A227" s="1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 t="str">
        <f t="shared" si="44"/>
        <v/>
      </c>
      <c r="O227" s="19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5.75" customHeight="1" x14ac:dyDescent="0.2">
      <c r="A228" s="1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 t="str">
        <f t="shared" si="44"/>
        <v/>
      </c>
      <c r="O228" s="19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5.75" customHeight="1" x14ac:dyDescent="0.2">
      <c r="A229" s="1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 t="str">
        <f t="shared" si="44"/>
        <v/>
      </c>
      <c r="O229" s="19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5.75" customHeight="1" x14ac:dyDescent="0.2">
      <c r="A230" s="1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 t="str">
        <f t="shared" si="44"/>
        <v/>
      </c>
      <c r="O230" s="19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5.75" customHeight="1" x14ac:dyDescent="0.2">
      <c r="A231" s="1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 t="str">
        <f t="shared" si="44"/>
        <v/>
      </c>
      <c r="O231" s="19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5.75" customHeight="1" x14ac:dyDescent="0.2">
      <c r="A232" s="1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 t="str">
        <f t="shared" si="44"/>
        <v/>
      </c>
      <c r="O232" s="19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5.75" customHeight="1" x14ac:dyDescent="0.2">
      <c r="A233" s="1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 t="str">
        <f t="shared" si="44"/>
        <v/>
      </c>
      <c r="O233" s="19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5.75" customHeight="1" x14ac:dyDescent="0.2">
      <c r="A234" s="1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 t="str">
        <f t="shared" si="44"/>
        <v/>
      </c>
      <c r="O234" s="19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5.75" customHeight="1" x14ac:dyDescent="0.2">
      <c r="A235" s="1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 t="str">
        <f t="shared" si="44"/>
        <v/>
      </c>
      <c r="O235" s="19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5.75" customHeight="1" x14ac:dyDescent="0.2">
      <c r="A236" s="1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 t="str">
        <f t="shared" si="44"/>
        <v/>
      </c>
      <c r="O236" s="19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5.75" customHeight="1" x14ac:dyDescent="0.2">
      <c r="A237" s="1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 t="str">
        <f t="shared" si="44"/>
        <v/>
      </c>
      <c r="O237" s="19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5.75" customHeight="1" x14ac:dyDescent="0.2">
      <c r="A238" s="1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 t="str">
        <f t="shared" si="44"/>
        <v/>
      </c>
      <c r="O238" s="19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5.75" customHeight="1" x14ac:dyDescent="0.2">
      <c r="A239" s="1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 t="str">
        <f t="shared" si="44"/>
        <v/>
      </c>
      <c r="O239" s="19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5.75" customHeight="1" x14ac:dyDescent="0.2">
      <c r="A240" s="1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 t="str">
        <f t="shared" si="44"/>
        <v/>
      </c>
      <c r="O240" s="19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5.75" customHeight="1" x14ac:dyDescent="0.2">
      <c r="A241" s="1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 t="str">
        <f t="shared" si="44"/>
        <v/>
      </c>
      <c r="O241" s="19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5.75" customHeight="1" x14ac:dyDescent="0.2">
      <c r="A242" s="1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 t="str">
        <f t="shared" si="44"/>
        <v/>
      </c>
      <c r="O242" s="19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5.75" customHeight="1" x14ac:dyDescent="0.2">
      <c r="A243" s="1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 t="str">
        <f t="shared" si="44"/>
        <v/>
      </c>
      <c r="O243" s="19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5.75" customHeight="1" x14ac:dyDescent="0.2">
      <c r="A244" s="1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 t="str">
        <f t="shared" si="44"/>
        <v/>
      </c>
      <c r="O244" s="19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5.75" customHeight="1" x14ac:dyDescent="0.2">
      <c r="A245" s="1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 t="str">
        <f t="shared" si="44"/>
        <v/>
      </c>
      <c r="O245" s="19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5.75" customHeight="1" x14ac:dyDescent="0.2">
      <c r="A246" s="1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 t="str">
        <f t="shared" si="44"/>
        <v/>
      </c>
      <c r="O246" s="19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5.75" customHeight="1" x14ac:dyDescent="0.2">
      <c r="A247" s="1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 t="str">
        <f t="shared" si="44"/>
        <v/>
      </c>
      <c r="O247" s="19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5.75" customHeight="1" x14ac:dyDescent="0.2">
      <c r="A248" s="1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 t="str">
        <f t="shared" si="44"/>
        <v/>
      </c>
      <c r="O248" s="19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5.75" customHeight="1" x14ac:dyDescent="0.2">
      <c r="A249" s="1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 t="str">
        <f t="shared" si="44"/>
        <v/>
      </c>
      <c r="O249" s="19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5.75" customHeight="1" x14ac:dyDescent="0.2">
      <c r="A250" s="1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 t="str">
        <f t="shared" si="44"/>
        <v/>
      </c>
      <c r="O250" s="19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5.75" customHeight="1" x14ac:dyDescent="0.2">
      <c r="A251" s="1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 t="str">
        <f t="shared" si="44"/>
        <v/>
      </c>
      <c r="O251" s="19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5.75" customHeight="1" x14ac:dyDescent="0.2">
      <c r="A252" s="1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 t="str">
        <f t="shared" si="44"/>
        <v/>
      </c>
      <c r="O252" s="19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5.75" customHeight="1" x14ac:dyDescent="0.2">
      <c r="A253" s="1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 t="str">
        <f t="shared" si="44"/>
        <v/>
      </c>
      <c r="O253" s="19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5.75" customHeight="1" x14ac:dyDescent="0.2">
      <c r="A254" s="1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 t="str">
        <f t="shared" si="44"/>
        <v/>
      </c>
      <c r="O254" s="19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5.75" customHeight="1" x14ac:dyDescent="0.2">
      <c r="A255" s="1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 t="str">
        <f t="shared" si="44"/>
        <v/>
      </c>
      <c r="O255" s="19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5.75" customHeight="1" x14ac:dyDescent="0.2">
      <c r="A256" s="1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 t="str">
        <f t="shared" si="44"/>
        <v/>
      </c>
      <c r="O256" s="19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5.75" customHeight="1" x14ac:dyDescent="0.2">
      <c r="A257" s="1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 t="str">
        <f t="shared" si="44"/>
        <v/>
      </c>
      <c r="O257" s="19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5.75" customHeight="1" x14ac:dyDescent="0.2">
      <c r="A258" s="1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 t="str">
        <f t="shared" si="44"/>
        <v/>
      </c>
      <c r="O258" s="19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5.75" customHeight="1" x14ac:dyDescent="0.2">
      <c r="A259" s="1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 t="str">
        <f t="shared" si="44"/>
        <v/>
      </c>
      <c r="O259" s="19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5.75" customHeight="1" x14ac:dyDescent="0.2">
      <c r="A260" s="1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 t="str">
        <f t="shared" si="44"/>
        <v/>
      </c>
      <c r="O260" s="19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5.75" customHeight="1" x14ac:dyDescent="0.2">
      <c r="A261" s="1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 t="str">
        <f t="shared" si="44"/>
        <v/>
      </c>
      <c r="O261" s="19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5.75" customHeight="1" x14ac:dyDescent="0.2">
      <c r="A262" s="1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 t="str">
        <f t="shared" si="44"/>
        <v/>
      </c>
      <c r="O262" s="19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5.75" customHeight="1" x14ac:dyDescent="0.2">
      <c r="A263" s="1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 t="str">
        <f t="shared" si="44"/>
        <v/>
      </c>
      <c r="O263" s="19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5.75" customHeight="1" x14ac:dyDescent="0.2">
      <c r="A264" s="1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 t="str">
        <f t="shared" si="44"/>
        <v/>
      </c>
      <c r="O264" s="19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5.75" customHeight="1" x14ac:dyDescent="0.2">
      <c r="A265" s="1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 t="str">
        <f t="shared" si="44"/>
        <v/>
      </c>
      <c r="O265" s="19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5.75" customHeight="1" x14ac:dyDescent="0.2">
      <c r="A266" s="1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 t="str">
        <f t="shared" si="44"/>
        <v/>
      </c>
      <c r="O266" s="19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5.75" customHeight="1" x14ac:dyDescent="0.2">
      <c r="A267" s="1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 t="str">
        <f t="shared" si="44"/>
        <v/>
      </c>
      <c r="O267" s="19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5.75" customHeight="1" x14ac:dyDescent="0.2">
      <c r="A268" s="1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 t="str">
        <f t="shared" si="44"/>
        <v/>
      </c>
      <c r="O268" s="19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5.75" customHeight="1" x14ac:dyDescent="0.2">
      <c r="A269" s="1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 t="str">
        <f t="shared" si="44"/>
        <v/>
      </c>
      <c r="O269" s="19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5.75" customHeight="1" x14ac:dyDescent="0.2">
      <c r="A270" s="1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 t="str">
        <f t="shared" si="44"/>
        <v/>
      </c>
      <c r="O270" s="19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5.75" customHeight="1" x14ac:dyDescent="0.2">
      <c r="A271" s="1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 t="str">
        <f t="shared" si="44"/>
        <v/>
      </c>
      <c r="O271" s="19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5.75" customHeight="1" x14ac:dyDescent="0.2">
      <c r="A272" s="1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 t="str">
        <f t="shared" si="44"/>
        <v/>
      </c>
      <c r="O272" s="19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5.75" customHeight="1" x14ac:dyDescent="0.2">
      <c r="A273" s="1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 t="str">
        <f t="shared" si="44"/>
        <v/>
      </c>
      <c r="O273" s="19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5.75" customHeight="1" x14ac:dyDescent="0.2">
      <c r="A274" s="1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 t="str">
        <f t="shared" si="44"/>
        <v/>
      </c>
      <c r="O274" s="19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5.75" customHeight="1" x14ac:dyDescent="0.2">
      <c r="A275" s="1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 t="str">
        <f t="shared" si="44"/>
        <v/>
      </c>
      <c r="O275" s="19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5.75" customHeight="1" x14ac:dyDescent="0.2">
      <c r="A276" s="1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 t="str">
        <f t="shared" si="44"/>
        <v/>
      </c>
      <c r="O276" s="19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5.75" customHeight="1" x14ac:dyDescent="0.2">
      <c r="A277" s="1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 t="str">
        <f t="shared" si="44"/>
        <v/>
      </c>
      <c r="O277" s="19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5.75" customHeight="1" x14ac:dyDescent="0.2">
      <c r="A278" s="1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 t="str">
        <f t="shared" si="44"/>
        <v/>
      </c>
      <c r="O278" s="19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5.75" customHeight="1" x14ac:dyDescent="0.2">
      <c r="A279" s="1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 t="str">
        <f t="shared" si="44"/>
        <v/>
      </c>
      <c r="O279" s="19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5.75" customHeight="1" x14ac:dyDescent="0.2">
      <c r="A280" s="1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 t="str">
        <f t="shared" si="44"/>
        <v/>
      </c>
      <c r="O280" s="19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5.75" customHeight="1" x14ac:dyDescent="0.2">
      <c r="A281" s="1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 t="str">
        <f t="shared" si="44"/>
        <v/>
      </c>
      <c r="O281" s="19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5.75" customHeight="1" x14ac:dyDescent="0.2">
      <c r="A282" s="1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 t="str">
        <f t="shared" si="44"/>
        <v/>
      </c>
      <c r="O282" s="19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5.75" customHeight="1" x14ac:dyDescent="0.2">
      <c r="A283" s="1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 t="str">
        <f t="shared" si="44"/>
        <v/>
      </c>
      <c r="O283" s="19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5.75" customHeight="1" x14ac:dyDescent="0.2">
      <c r="A284" s="1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 t="str">
        <f t="shared" si="44"/>
        <v/>
      </c>
      <c r="O284" s="19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5.75" customHeight="1" x14ac:dyDescent="0.2">
      <c r="A285" s="1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 t="str">
        <f t="shared" si="44"/>
        <v/>
      </c>
      <c r="O285" s="19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5.75" customHeight="1" x14ac:dyDescent="0.2">
      <c r="A286" s="1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 t="str">
        <f t="shared" si="44"/>
        <v/>
      </c>
      <c r="O286" s="19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5.75" customHeight="1" x14ac:dyDescent="0.2">
      <c r="A287" s="1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 t="str">
        <f t="shared" si="44"/>
        <v/>
      </c>
      <c r="O287" s="19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5.75" customHeight="1" x14ac:dyDescent="0.2">
      <c r="A288" s="1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 t="str">
        <f t="shared" si="44"/>
        <v/>
      </c>
      <c r="O288" s="19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5.75" customHeight="1" x14ac:dyDescent="0.2">
      <c r="A289" s="1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 t="str">
        <f t="shared" si="44"/>
        <v/>
      </c>
      <c r="O289" s="19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5.75" customHeight="1" x14ac:dyDescent="0.2">
      <c r="A290" s="1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 t="str">
        <f t="shared" si="44"/>
        <v/>
      </c>
      <c r="O290" s="19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5.75" customHeight="1" x14ac:dyDescent="0.2">
      <c r="A291" s="1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 t="str">
        <f t="shared" si="44"/>
        <v/>
      </c>
      <c r="O291" s="19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5.75" customHeight="1" x14ac:dyDescent="0.2">
      <c r="A292" s="1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 t="str">
        <f t="shared" si="44"/>
        <v/>
      </c>
      <c r="O292" s="19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5.75" customHeight="1" x14ac:dyDescent="0.2">
      <c r="A293" s="1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 t="str">
        <f t="shared" si="44"/>
        <v/>
      </c>
      <c r="O293" s="19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5.75" customHeight="1" x14ac:dyDescent="0.2">
      <c r="A294" s="1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 t="str">
        <f t="shared" si="44"/>
        <v/>
      </c>
      <c r="O294" s="19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5.75" customHeight="1" x14ac:dyDescent="0.2">
      <c r="A295" s="1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 t="str">
        <f t="shared" si="44"/>
        <v/>
      </c>
      <c r="O295" s="19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5.75" customHeight="1" x14ac:dyDescent="0.2">
      <c r="A296" s="1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 t="str">
        <f t="shared" si="44"/>
        <v/>
      </c>
      <c r="O296" s="19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5.75" customHeight="1" x14ac:dyDescent="0.2">
      <c r="A297" s="1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 t="str">
        <f t="shared" si="44"/>
        <v/>
      </c>
      <c r="O297" s="19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5.75" customHeight="1" x14ac:dyDescent="0.2">
      <c r="A298" s="1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 t="str">
        <f t="shared" si="44"/>
        <v/>
      </c>
      <c r="O298" s="19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5.75" customHeight="1" x14ac:dyDescent="0.2">
      <c r="A299" s="1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 t="str">
        <f t="shared" si="44"/>
        <v/>
      </c>
      <c r="O299" s="19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5.75" customHeight="1" x14ac:dyDescent="0.2">
      <c r="A300" s="1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 t="str">
        <f t="shared" si="44"/>
        <v/>
      </c>
      <c r="O300" s="19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5.75" customHeight="1" x14ac:dyDescent="0.2">
      <c r="A301" s="1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 t="str">
        <f t="shared" si="44"/>
        <v/>
      </c>
      <c r="O301" s="19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5.75" customHeight="1" x14ac:dyDescent="0.2">
      <c r="A302" s="1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 t="str">
        <f t="shared" si="44"/>
        <v/>
      </c>
      <c r="O302" s="19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5.75" customHeight="1" x14ac:dyDescent="0.2">
      <c r="A303" s="1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 t="str">
        <f t="shared" si="44"/>
        <v/>
      </c>
      <c r="O303" s="19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5.75" customHeight="1" x14ac:dyDescent="0.2">
      <c r="A304" s="1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 t="str">
        <f t="shared" si="44"/>
        <v/>
      </c>
      <c r="O304" s="19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5.75" customHeight="1" x14ac:dyDescent="0.2">
      <c r="A305" s="1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 t="str">
        <f t="shared" si="44"/>
        <v/>
      </c>
      <c r="O305" s="19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5.75" customHeight="1" x14ac:dyDescent="0.2">
      <c r="A306" s="1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 t="str">
        <f t="shared" si="44"/>
        <v/>
      </c>
      <c r="O306" s="19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5.75" customHeight="1" x14ac:dyDescent="0.2">
      <c r="A307" s="1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 t="str">
        <f t="shared" si="44"/>
        <v/>
      </c>
      <c r="O307" s="19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5.75" customHeight="1" x14ac:dyDescent="0.2">
      <c r="A308" s="1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 t="str">
        <f t="shared" si="44"/>
        <v/>
      </c>
      <c r="O308" s="19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5.75" customHeight="1" x14ac:dyDescent="0.2">
      <c r="A309" s="1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 t="str">
        <f t="shared" si="44"/>
        <v/>
      </c>
      <c r="O309" s="19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5.75" customHeight="1" x14ac:dyDescent="0.2">
      <c r="A310" s="1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 t="str">
        <f t="shared" si="44"/>
        <v/>
      </c>
      <c r="O310" s="19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5.75" customHeight="1" x14ac:dyDescent="0.2">
      <c r="A311" s="1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 t="str">
        <f t="shared" si="44"/>
        <v/>
      </c>
      <c r="O311" s="19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5.75" customHeight="1" x14ac:dyDescent="0.2">
      <c r="A312" s="1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 t="str">
        <f t="shared" si="44"/>
        <v/>
      </c>
      <c r="O312" s="19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5.75" customHeight="1" x14ac:dyDescent="0.2">
      <c r="A313" s="1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 t="str">
        <f t="shared" si="44"/>
        <v/>
      </c>
      <c r="O313" s="19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5.75" customHeight="1" x14ac:dyDescent="0.2">
      <c r="A314" s="1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 t="str">
        <f t="shared" si="44"/>
        <v/>
      </c>
      <c r="O314" s="19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5.75" customHeight="1" x14ac:dyDescent="0.2">
      <c r="A315" s="1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 t="str">
        <f t="shared" si="44"/>
        <v/>
      </c>
      <c r="O315" s="19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5.75" customHeight="1" x14ac:dyDescent="0.2">
      <c r="A316" s="1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 t="str">
        <f t="shared" si="44"/>
        <v/>
      </c>
      <c r="O316" s="19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5.75" customHeight="1" x14ac:dyDescent="0.2">
      <c r="A317" s="1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 t="str">
        <f t="shared" si="44"/>
        <v/>
      </c>
      <c r="O317" s="19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5.75" customHeight="1" x14ac:dyDescent="0.2">
      <c r="A318" s="1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 t="str">
        <f t="shared" si="44"/>
        <v/>
      </c>
      <c r="O318" s="19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5.75" customHeight="1" x14ac:dyDescent="0.2">
      <c r="A319" s="1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 t="str">
        <f t="shared" si="44"/>
        <v/>
      </c>
      <c r="O319" s="19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5.75" customHeight="1" x14ac:dyDescent="0.2">
      <c r="A320" s="1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 t="str">
        <f t="shared" si="44"/>
        <v/>
      </c>
      <c r="O320" s="19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5.75" customHeight="1" x14ac:dyDescent="0.2">
      <c r="A321" s="1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 t="str">
        <f t="shared" si="44"/>
        <v/>
      </c>
      <c r="O321" s="19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5.75" customHeight="1" x14ac:dyDescent="0.2">
      <c r="A322" s="1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 t="str">
        <f t="shared" si="44"/>
        <v/>
      </c>
      <c r="O322" s="19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5.75" customHeight="1" x14ac:dyDescent="0.2">
      <c r="A323" s="1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 t="str">
        <f t="shared" si="44"/>
        <v/>
      </c>
      <c r="O323" s="19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5.75" customHeight="1" x14ac:dyDescent="0.2">
      <c r="A324" s="1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 t="str">
        <f t="shared" si="44"/>
        <v/>
      </c>
      <c r="O324" s="19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5.75" customHeight="1" x14ac:dyDescent="0.2">
      <c r="A325" s="1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 t="str">
        <f t="shared" si="44"/>
        <v/>
      </c>
      <c r="O325" s="19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5.75" customHeight="1" x14ac:dyDescent="0.2">
      <c r="A326" s="1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 t="str">
        <f t="shared" si="44"/>
        <v/>
      </c>
      <c r="O326" s="19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5.75" customHeight="1" x14ac:dyDescent="0.2">
      <c r="A327" s="1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 t="str">
        <f t="shared" si="44"/>
        <v/>
      </c>
      <c r="O327" s="19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5.75" customHeight="1" x14ac:dyDescent="0.2">
      <c r="A328" s="1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 t="str">
        <f t="shared" si="44"/>
        <v/>
      </c>
      <c r="O328" s="19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5.75" customHeight="1" x14ac:dyDescent="0.2">
      <c r="A329" s="1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 t="str">
        <f t="shared" si="44"/>
        <v/>
      </c>
      <c r="O329" s="19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5.75" customHeight="1" x14ac:dyDescent="0.2">
      <c r="A330" s="1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 t="str">
        <f t="shared" si="44"/>
        <v/>
      </c>
      <c r="O330" s="19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5.75" customHeight="1" x14ac:dyDescent="0.2">
      <c r="A331" s="1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 t="str">
        <f t="shared" si="44"/>
        <v/>
      </c>
      <c r="O331" s="19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5.75" customHeight="1" x14ac:dyDescent="0.2">
      <c r="A332" s="1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 t="str">
        <f t="shared" si="44"/>
        <v/>
      </c>
      <c r="O332" s="19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5.75" customHeight="1" x14ac:dyDescent="0.2">
      <c r="A333" s="1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 t="str">
        <f t="shared" si="44"/>
        <v/>
      </c>
      <c r="O333" s="19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5.75" customHeight="1" x14ac:dyDescent="0.2">
      <c r="A334" s="1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 t="str">
        <f t="shared" si="44"/>
        <v/>
      </c>
      <c r="O334" s="19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5.75" customHeight="1" x14ac:dyDescent="0.2">
      <c r="A335" s="1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 t="str">
        <f t="shared" si="44"/>
        <v/>
      </c>
      <c r="O335" s="19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5.75" customHeight="1" x14ac:dyDescent="0.2">
      <c r="A336" s="1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 t="str">
        <f t="shared" si="44"/>
        <v/>
      </c>
      <c r="O336" s="19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5.75" customHeight="1" x14ac:dyDescent="0.2">
      <c r="A337" s="1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 t="str">
        <f t="shared" si="44"/>
        <v/>
      </c>
      <c r="O337" s="19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5.75" customHeight="1" x14ac:dyDescent="0.2">
      <c r="A338" s="1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 t="str">
        <f t="shared" si="44"/>
        <v/>
      </c>
      <c r="O338" s="19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5.75" customHeight="1" x14ac:dyDescent="0.2">
      <c r="A339" s="1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 t="str">
        <f t="shared" si="44"/>
        <v/>
      </c>
      <c r="O339" s="19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5.75" customHeight="1" x14ac:dyDescent="0.2">
      <c r="A340" s="1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 t="str">
        <f t="shared" si="44"/>
        <v/>
      </c>
      <c r="O340" s="19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5.75" customHeight="1" x14ac:dyDescent="0.2">
      <c r="A341" s="1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 t="str">
        <f t="shared" si="44"/>
        <v/>
      </c>
      <c r="O341" s="19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5.75" customHeight="1" x14ac:dyDescent="0.2">
      <c r="A342" s="1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 t="str">
        <f t="shared" si="44"/>
        <v/>
      </c>
      <c r="O342" s="19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5.75" customHeight="1" x14ac:dyDescent="0.2">
      <c r="A343" s="1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 t="str">
        <f t="shared" si="44"/>
        <v/>
      </c>
      <c r="O343" s="19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5.75" customHeight="1" x14ac:dyDescent="0.2">
      <c r="A344" s="1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 t="str">
        <f t="shared" si="44"/>
        <v/>
      </c>
      <c r="O344" s="19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5.75" customHeight="1" x14ac:dyDescent="0.2">
      <c r="A345" s="1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 t="str">
        <f t="shared" si="44"/>
        <v/>
      </c>
      <c r="O345" s="19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5.75" customHeight="1" x14ac:dyDescent="0.2">
      <c r="A346" s="1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 t="str">
        <f t="shared" si="44"/>
        <v/>
      </c>
      <c r="O346" s="19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5.75" customHeight="1" x14ac:dyDescent="0.2">
      <c r="A347" s="1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 t="str">
        <f t="shared" si="44"/>
        <v/>
      </c>
      <c r="O347" s="19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5.75" customHeight="1" x14ac:dyDescent="0.2">
      <c r="A348" s="1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 t="str">
        <f t="shared" si="44"/>
        <v/>
      </c>
      <c r="O348" s="19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5.75" customHeight="1" x14ac:dyDescent="0.2">
      <c r="A349" s="1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 t="str">
        <f t="shared" si="44"/>
        <v/>
      </c>
      <c r="O349" s="19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5.75" customHeight="1" x14ac:dyDescent="0.2">
      <c r="A350" s="1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 t="str">
        <f t="shared" si="44"/>
        <v/>
      </c>
      <c r="O350" s="19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5.75" customHeight="1" x14ac:dyDescent="0.2">
      <c r="A351" s="1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 t="str">
        <f t="shared" si="44"/>
        <v/>
      </c>
      <c r="O351" s="19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5.75" customHeight="1" x14ac:dyDescent="0.2">
      <c r="A352" s="1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 t="str">
        <f t="shared" si="44"/>
        <v/>
      </c>
      <c r="O352" s="19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5.75" customHeight="1" x14ac:dyDescent="0.2">
      <c r="A353" s="1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 t="str">
        <f t="shared" si="44"/>
        <v/>
      </c>
      <c r="O353" s="19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5.75" customHeight="1" x14ac:dyDescent="0.2">
      <c r="A354" s="1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 t="str">
        <f t="shared" si="44"/>
        <v/>
      </c>
      <c r="O354" s="19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5.75" customHeight="1" x14ac:dyDescent="0.2">
      <c r="A355" s="1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 t="str">
        <f t="shared" si="44"/>
        <v/>
      </c>
      <c r="O355" s="19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5.75" customHeight="1" x14ac:dyDescent="0.2">
      <c r="A356" s="1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 t="str">
        <f t="shared" si="44"/>
        <v/>
      </c>
      <c r="O356" s="19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5.75" customHeight="1" x14ac:dyDescent="0.2">
      <c r="A357" s="1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 t="str">
        <f t="shared" si="44"/>
        <v/>
      </c>
      <c r="O357" s="19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5.75" customHeight="1" x14ac:dyDescent="0.2">
      <c r="A358" s="1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 t="str">
        <f t="shared" si="44"/>
        <v/>
      </c>
      <c r="O358" s="19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5.75" customHeight="1" x14ac:dyDescent="0.2">
      <c r="A359" s="1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 t="str">
        <f t="shared" si="44"/>
        <v/>
      </c>
      <c r="O359" s="19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5.75" customHeight="1" x14ac:dyDescent="0.2">
      <c r="A360" s="1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 t="str">
        <f t="shared" si="44"/>
        <v/>
      </c>
      <c r="O360" s="19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5.75" customHeight="1" x14ac:dyDescent="0.2">
      <c r="A361" s="1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 t="str">
        <f t="shared" si="44"/>
        <v/>
      </c>
      <c r="O361" s="19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5.75" customHeight="1" x14ac:dyDescent="0.2">
      <c r="A362" s="1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 t="str">
        <f t="shared" si="44"/>
        <v/>
      </c>
      <c r="O362" s="19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5.75" customHeight="1" x14ac:dyDescent="0.2">
      <c r="A363" s="1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 t="str">
        <f t="shared" si="44"/>
        <v/>
      </c>
      <c r="O363" s="19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5.75" customHeight="1" x14ac:dyDescent="0.2">
      <c r="A364" s="1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 t="str">
        <f t="shared" si="44"/>
        <v/>
      </c>
      <c r="O364" s="19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5.75" customHeight="1" x14ac:dyDescent="0.2">
      <c r="A365" s="1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 t="str">
        <f t="shared" si="44"/>
        <v/>
      </c>
      <c r="O365" s="19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5.75" customHeight="1" x14ac:dyDescent="0.2">
      <c r="A366" s="1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 t="str">
        <f t="shared" si="44"/>
        <v/>
      </c>
      <c r="O366" s="19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5.75" customHeight="1" x14ac:dyDescent="0.2">
      <c r="A367" s="1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 t="str">
        <f t="shared" si="44"/>
        <v/>
      </c>
      <c r="O367" s="19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5.75" customHeight="1" x14ac:dyDescent="0.2">
      <c r="A368" s="1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 t="str">
        <f t="shared" si="44"/>
        <v/>
      </c>
      <c r="O368" s="19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5.75" customHeight="1" x14ac:dyDescent="0.2">
      <c r="A369" s="1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 t="str">
        <f t="shared" si="44"/>
        <v/>
      </c>
      <c r="O369" s="19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5.75" customHeight="1" x14ac:dyDescent="0.2">
      <c r="A370" s="1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 t="str">
        <f t="shared" si="44"/>
        <v/>
      </c>
      <c r="O370" s="19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5.75" customHeight="1" x14ac:dyDescent="0.2">
      <c r="A371" s="1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 t="str">
        <f t="shared" si="44"/>
        <v/>
      </c>
      <c r="O371" s="19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5.75" customHeight="1" x14ac:dyDescent="0.2">
      <c r="A372" s="1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 t="str">
        <f t="shared" si="44"/>
        <v/>
      </c>
      <c r="O372" s="19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5.75" customHeight="1" x14ac:dyDescent="0.2">
      <c r="A373" s="1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 t="str">
        <f t="shared" si="44"/>
        <v/>
      </c>
      <c r="O373" s="19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5.75" customHeight="1" x14ac:dyDescent="0.2">
      <c r="A374" s="1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 t="str">
        <f t="shared" si="44"/>
        <v/>
      </c>
      <c r="O374" s="19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5.75" customHeight="1" x14ac:dyDescent="0.2">
      <c r="A375" s="1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 t="str">
        <f t="shared" si="44"/>
        <v/>
      </c>
      <c r="O375" s="19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5.75" customHeight="1" x14ac:dyDescent="0.2">
      <c r="A376" s="1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 t="str">
        <f t="shared" si="44"/>
        <v/>
      </c>
      <c r="O376" s="19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5.75" customHeight="1" x14ac:dyDescent="0.2">
      <c r="A377" s="1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 t="str">
        <f t="shared" si="44"/>
        <v/>
      </c>
      <c r="O377" s="19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5.75" customHeight="1" x14ac:dyDescent="0.2">
      <c r="A378" s="1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 t="str">
        <f t="shared" si="44"/>
        <v/>
      </c>
      <c r="O378" s="19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5.75" customHeight="1" x14ac:dyDescent="0.2">
      <c r="A379" s="1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 t="str">
        <f t="shared" si="44"/>
        <v/>
      </c>
      <c r="O379" s="19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5.75" customHeight="1" x14ac:dyDescent="0.2">
      <c r="A380" s="1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 t="str">
        <f t="shared" si="44"/>
        <v/>
      </c>
      <c r="O380" s="19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5.75" customHeight="1" x14ac:dyDescent="0.2">
      <c r="A381" s="1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 t="str">
        <f t="shared" si="44"/>
        <v/>
      </c>
      <c r="O381" s="19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5.75" customHeight="1" x14ac:dyDescent="0.2">
      <c r="A382" s="1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 t="str">
        <f t="shared" si="44"/>
        <v/>
      </c>
      <c r="O382" s="19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5.75" customHeight="1" x14ac:dyDescent="0.2">
      <c r="A383" s="1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 t="str">
        <f t="shared" si="44"/>
        <v/>
      </c>
      <c r="O383" s="19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5.75" customHeight="1" x14ac:dyDescent="0.2">
      <c r="A384" s="1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 t="str">
        <f t="shared" si="44"/>
        <v/>
      </c>
      <c r="O384" s="19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5.75" customHeight="1" x14ac:dyDescent="0.2">
      <c r="A385" s="1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 t="str">
        <f t="shared" si="44"/>
        <v/>
      </c>
      <c r="O385" s="19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5.75" customHeight="1" x14ac:dyDescent="0.2">
      <c r="A386" s="1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 t="str">
        <f t="shared" si="44"/>
        <v/>
      </c>
      <c r="O386" s="19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5.75" customHeight="1" x14ac:dyDescent="0.2">
      <c r="A387" s="1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 t="str">
        <f t="shared" si="44"/>
        <v/>
      </c>
      <c r="O387" s="19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5.75" customHeight="1" x14ac:dyDescent="0.2">
      <c r="A388" s="1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 t="str">
        <f t="shared" si="44"/>
        <v/>
      </c>
      <c r="O388" s="19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5.75" customHeight="1" x14ac:dyDescent="0.2">
      <c r="A389" s="1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 t="str">
        <f t="shared" si="44"/>
        <v/>
      </c>
      <c r="O389" s="19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5.75" customHeight="1" x14ac:dyDescent="0.2">
      <c r="A390" s="1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 t="str">
        <f t="shared" si="44"/>
        <v/>
      </c>
      <c r="O390" s="19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5.75" customHeight="1" x14ac:dyDescent="0.2">
      <c r="A391" s="1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 t="str">
        <f t="shared" si="44"/>
        <v/>
      </c>
      <c r="O391" s="19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5.75" customHeight="1" x14ac:dyDescent="0.2">
      <c r="A392" s="1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 t="str">
        <f t="shared" si="44"/>
        <v/>
      </c>
      <c r="O392" s="19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5.75" customHeight="1" x14ac:dyDescent="0.2">
      <c r="A393" s="1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 t="str">
        <f t="shared" si="44"/>
        <v/>
      </c>
      <c r="O393" s="19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5.75" customHeight="1" x14ac:dyDescent="0.2">
      <c r="A394" s="1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 t="str">
        <f t="shared" si="44"/>
        <v/>
      </c>
      <c r="O394" s="19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5.75" customHeight="1" x14ac:dyDescent="0.2">
      <c r="A395" s="1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 t="str">
        <f t="shared" si="44"/>
        <v/>
      </c>
      <c r="O395" s="19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5.75" customHeight="1" x14ac:dyDescent="0.2">
      <c r="A396" s="1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 t="str">
        <f t="shared" si="44"/>
        <v/>
      </c>
      <c r="O396" s="19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5.75" customHeight="1" x14ac:dyDescent="0.2">
      <c r="A397" s="1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 t="str">
        <f t="shared" si="44"/>
        <v/>
      </c>
      <c r="O397" s="19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5.75" customHeight="1" x14ac:dyDescent="0.2">
      <c r="A398" s="1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 t="str">
        <f t="shared" si="44"/>
        <v/>
      </c>
      <c r="O398" s="19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5.75" customHeight="1" x14ac:dyDescent="0.2">
      <c r="A399" s="1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 t="str">
        <f t="shared" si="44"/>
        <v/>
      </c>
      <c r="O399" s="19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5.75" customHeight="1" x14ac:dyDescent="0.2">
      <c r="A400" s="1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 t="str">
        <f t="shared" si="44"/>
        <v/>
      </c>
      <c r="O400" s="19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5.75" customHeight="1" x14ac:dyDescent="0.2">
      <c r="A401" s="1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 t="str">
        <f t="shared" si="44"/>
        <v/>
      </c>
      <c r="O401" s="19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5.75" customHeight="1" x14ac:dyDescent="0.2">
      <c r="A402" s="1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 t="str">
        <f t="shared" si="44"/>
        <v/>
      </c>
      <c r="O402" s="19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5.75" customHeight="1" x14ac:dyDescent="0.2">
      <c r="A403" s="1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 t="str">
        <f t="shared" si="44"/>
        <v/>
      </c>
      <c r="O403" s="19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5.75" customHeight="1" x14ac:dyDescent="0.2">
      <c r="A404" s="1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 t="str">
        <f t="shared" si="44"/>
        <v/>
      </c>
      <c r="O404" s="19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5.75" customHeight="1" x14ac:dyDescent="0.2">
      <c r="A405" s="1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 t="str">
        <f t="shared" si="44"/>
        <v/>
      </c>
      <c r="O405" s="19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5.75" customHeight="1" x14ac:dyDescent="0.2">
      <c r="A406" s="1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 t="str">
        <f t="shared" ref="N406:N660" si="45">IF(K406+L406+M406 =0,"", K406+L406+M406)</f>
        <v/>
      </c>
      <c r="O406" s="19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5.75" customHeight="1" x14ac:dyDescent="0.2">
      <c r="A407" s="1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 t="str">
        <f t="shared" si="45"/>
        <v/>
      </c>
      <c r="O407" s="19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5.75" customHeight="1" x14ac:dyDescent="0.2">
      <c r="A408" s="1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 t="str">
        <f t="shared" si="45"/>
        <v/>
      </c>
      <c r="O408" s="19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5.75" customHeight="1" x14ac:dyDescent="0.2">
      <c r="A409" s="1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 t="str">
        <f t="shared" si="45"/>
        <v/>
      </c>
      <c r="O409" s="19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5.75" customHeight="1" x14ac:dyDescent="0.2">
      <c r="A410" s="1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 t="str">
        <f t="shared" si="45"/>
        <v/>
      </c>
      <c r="O410" s="19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5.75" customHeight="1" x14ac:dyDescent="0.2">
      <c r="A411" s="1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 t="str">
        <f t="shared" si="45"/>
        <v/>
      </c>
      <c r="O411" s="19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5.75" customHeight="1" x14ac:dyDescent="0.2">
      <c r="A412" s="1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 t="str">
        <f t="shared" si="45"/>
        <v/>
      </c>
      <c r="O412" s="19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5.75" customHeight="1" x14ac:dyDescent="0.2">
      <c r="A413" s="1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 t="str">
        <f t="shared" si="45"/>
        <v/>
      </c>
      <c r="O413" s="19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5.75" customHeight="1" x14ac:dyDescent="0.2">
      <c r="A414" s="1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 t="str">
        <f t="shared" si="45"/>
        <v/>
      </c>
      <c r="O414" s="19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5.75" customHeight="1" x14ac:dyDescent="0.2">
      <c r="A415" s="1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 t="str">
        <f t="shared" si="45"/>
        <v/>
      </c>
      <c r="O415" s="19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5.75" customHeight="1" x14ac:dyDescent="0.2">
      <c r="A416" s="1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 t="str">
        <f t="shared" si="45"/>
        <v/>
      </c>
      <c r="O416" s="19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5.75" customHeight="1" x14ac:dyDescent="0.2">
      <c r="A417" s="1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 t="str">
        <f t="shared" si="45"/>
        <v/>
      </c>
      <c r="O417" s="19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5.75" customHeight="1" x14ac:dyDescent="0.2">
      <c r="A418" s="1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 t="str">
        <f t="shared" si="45"/>
        <v/>
      </c>
      <c r="O418" s="19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5.75" customHeight="1" x14ac:dyDescent="0.2">
      <c r="A419" s="1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 t="str">
        <f t="shared" si="45"/>
        <v/>
      </c>
      <c r="O419" s="19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5.75" customHeight="1" x14ac:dyDescent="0.2">
      <c r="A420" s="1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 t="str">
        <f t="shared" si="45"/>
        <v/>
      </c>
      <c r="O420" s="19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5.75" customHeight="1" x14ac:dyDescent="0.2">
      <c r="A421" s="1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 t="str">
        <f t="shared" si="45"/>
        <v/>
      </c>
      <c r="O421" s="19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5.75" customHeight="1" x14ac:dyDescent="0.2">
      <c r="A422" s="1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 t="str">
        <f t="shared" si="45"/>
        <v/>
      </c>
      <c r="O422" s="19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5.75" customHeight="1" x14ac:dyDescent="0.2">
      <c r="A423" s="1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 t="str">
        <f t="shared" si="45"/>
        <v/>
      </c>
      <c r="O423" s="19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5.75" customHeight="1" x14ac:dyDescent="0.2">
      <c r="A424" s="1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 t="str">
        <f t="shared" si="45"/>
        <v/>
      </c>
      <c r="O424" s="19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5.75" customHeight="1" x14ac:dyDescent="0.2">
      <c r="A425" s="1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 t="str">
        <f t="shared" si="45"/>
        <v/>
      </c>
      <c r="O425" s="19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5.75" customHeight="1" x14ac:dyDescent="0.2">
      <c r="A426" s="1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 t="str">
        <f t="shared" si="45"/>
        <v/>
      </c>
      <c r="O426" s="19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5.75" customHeight="1" x14ac:dyDescent="0.2">
      <c r="A427" s="1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 t="str">
        <f t="shared" si="45"/>
        <v/>
      </c>
      <c r="O427" s="19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5.75" customHeight="1" x14ac:dyDescent="0.2">
      <c r="A428" s="1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 t="str">
        <f t="shared" si="45"/>
        <v/>
      </c>
      <c r="O428" s="19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5.75" customHeight="1" x14ac:dyDescent="0.2">
      <c r="A429" s="1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 t="str">
        <f t="shared" si="45"/>
        <v/>
      </c>
      <c r="O429" s="19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5.75" customHeight="1" x14ac:dyDescent="0.2">
      <c r="A430" s="1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 t="str">
        <f t="shared" si="45"/>
        <v/>
      </c>
      <c r="O430" s="19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5.75" customHeight="1" x14ac:dyDescent="0.2">
      <c r="A431" s="1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 t="str">
        <f t="shared" si="45"/>
        <v/>
      </c>
      <c r="O431" s="19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5.75" customHeight="1" x14ac:dyDescent="0.2">
      <c r="A432" s="1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 t="str">
        <f t="shared" si="45"/>
        <v/>
      </c>
      <c r="O432" s="19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5.75" customHeight="1" x14ac:dyDescent="0.2">
      <c r="A433" s="1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 t="str">
        <f t="shared" si="45"/>
        <v/>
      </c>
      <c r="O433" s="19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5.75" customHeight="1" x14ac:dyDescent="0.2">
      <c r="A434" s="1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 t="str">
        <f t="shared" si="45"/>
        <v/>
      </c>
      <c r="O434" s="19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5.75" customHeight="1" x14ac:dyDescent="0.2">
      <c r="A435" s="1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 t="str">
        <f t="shared" si="45"/>
        <v/>
      </c>
      <c r="O435" s="19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5.75" customHeight="1" x14ac:dyDescent="0.2">
      <c r="A436" s="1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 t="str">
        <f t="shared" si="45"/>
        <v/>
      </c>
      <c r="O436" s="19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5.75" customHeight="1" x14ac:dyDescent="0.2">
      <c r="A437" s="1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 t="str">
        <f t="shared" si="45"/>
        <v/>
      </c>
      <c r="O437" s="19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5.75" customHeight="1" x14ac:dyDescent="0.2">
      <c r="A438" s="1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 t="str">
        <f t="shared" si="45"/>
        <v/>
      </c>
      <c r="O438" s="19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5.75" customHeight="1" x14ac:dyDescent="0.2">
      <c r="A439" s="1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 t="str">
        <f t="shared" si="45"/>
        <v/>
      </c>
      <c r="O439" s="19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5.75" customHeight="1" x14ac:dyDescent="0.2">
      <c r="A440" s="1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 t="str">
        <f t="shared" si="45"/>
        <v/>
      </c>
      <c r="O440" s="19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5.75" customHeight="1" x14ac:dyDescent="0.2">
      <c r="A441" s="1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 t="str">
        <f t="shared" si="45"/>
        <v/>
      </c>
      <c r="O441" s="19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5.75" customHeight="1" x14ac:dyDescent="0.2">
      <c r="A442" s="1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 t="str">
        <f t="shared" si="45"/>
        <v/>
      </c>
      <c r="O442" s="19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5.75" customHeight="1" x14ac:dyDescent="0.2">
      <c r="A443" s="1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 t="str">
        <f t="shared" si="45"/>
        <v/>
      </c>
      <c r="O443" s="19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5.75" customHeight="1" x14ac:dyDescent="0.2">
      <c r="A444" s="1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 t="str">
        <f t="shared" si="45"/>
        <v/>
      </c>
      <c r="O444" s="19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5.75" customHeight="1" x14ac:dyDescent="0.2">
      <c r="A445" s="1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 t="str">
        <f t="shared" si="45"/>
        <v/>
      </c>
      <c r="O445" s="19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5.75" customHeight="1" x14ac:dyDescent="0.2">
      <c r="A446" s="1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 t="str">
        <f t="shared" si="45"/>
        <v/>
      </c>
      <c r="O446" s="19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5.75" customHeight="1" x14ac:dyDescent="0.2">
      <c r="A447" s="1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 t="str">
        <f t="shared" si="45"/>
        <v/>
      </c>
      <c r="O447" s="19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5.75" customHeight="1" x14ac:dyDescent="0.2">
      <c r="A448" s="1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 t="str">
        <f t="shared" si="45"/>
        <v/>
      </c>
      <c r="O448" s="19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5.75" customHeight="1" x14ac:dyDescent="0.2">
      <c r="A449" s="1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 t="str">
        <f t="shared" si="45"/>
        <v/>
      </c>
      <c r="O449" s="19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5.75" customHeight="1" x14ac:dyDescent="0.2">
      <c r="A450" s="1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 t="str">
        <f t="shared" si="45"/>
        <v/>
      </c>
      <c r="O450" s="19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5.75" customHeight="1" x14ac:dyDescent="0.2">
      <c r="A451" s="1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 t="str">
        <f t="shared" si="45"/>
        <v/>
      </c>
      <c r="O451" s="19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5.75" customHeight="1" x14ac:dyDescent="0.2">
      <c r="A452" s="1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 t="str">
        <f t="shared" si="45"/>
        <v/>
      </c>
      <c r="O452" s="19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5.75" customHeight="1" x14ac:dyDescent="0.2">
      <c r="A453" s="1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 t="str">
        <f t="shared" si="45"/>
        <v/>
      </c>
      <c r="O453" s="19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5.75" customHeight="1" x14ac:dyDescent="0.2">
      <c r="A454" s="1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 t="str">
        <f t="shared" si="45"/>
        <v/>
      </c>
      <c r="O454" s="19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5.75" customHeight="1" x14ac:dyDescent="0.2">
      <c r="A455" s="1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 t="str">
        <f t="shared" si="45"/>
        <v/>
      </c>
      <c r="O455" s="19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5.75" customHeight="1" x14ac:dyDescent="0.2">
      <c r="A456" s="1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 t="str">
        <f t="shared" si="45"/>
        <v/>
      </c>
      <c r="O456" s="19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5.75" customHeight="1" x14ac:dyDescent="0.2">
      <c r="A457" s="1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 t="str">
        <f t="shared" si="45"/>
        <v/>
      </c>
      <c r="O457" s="19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5.75" customHeight="1" x14ac:dyDescent="0.2">
      <c r="A458" s="1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 t="str">
        <f t="shared" si="45"/>
        <v/>
      </c>
      <c r="O458" s="19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5.75" customHeight="1" x14ac:dyDescent="0.2">
      <c r="A459" s="1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 t="str">
        <f t="shared" si="45"/>
        <v/>
      </c>
      <c r="O459" s="19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5.75" customHeight="1" x14ac:dyDescent="0.2">
      <c r="A460" s="1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 t="str">
        <f t="shared" si="45"/>
        <v/>
      </c>
      <c r="O460" s="19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5.75" customHeight="1" x14ac:dyDescent="0.2">
      <c r="A461" s="1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 t="str">
        <f t="shared" si="45"/>
        <v/>
      </c>
      <c r="O461" s="19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5.75" customHeight="1" x14ac:dyDescent="0.2">
      <c r="A462" s="1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 t="str">
        <f t="shared" si="45"/>
        <v/>
      </c>
      <c r="O462" s="19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5.75" customHeight="1" x14ac:dyDescent="0.2">
      <c r="A463" s="1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 t="str">
        <f t="shared" si="45"/>
        <v/>
      </c>
      <c r="O463" s="19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5.75" customHeight="1" x14ac:dyDescent="0.2">
      <c r="A464" s="1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 t="str">
        <f t="shared" si="45"/>
        <v/>
      </c>
      <c r="O464" s="19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5.75" customHeight="1" x14ac:dyDescent="0.2">
      <c r="A465" s="1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 t="str">
        <f t="shared" si="45"/>
        <v/>
      </c>
      <c r="O465" s="19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5.75" customHeight="1" x14ac:dyDescent="0.2">
      <c r="A466" s="1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 t="str">
        <f t="shared" si="45"/>
        <v/>
      </c>
      <c r="O466" s="19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5.75" customHeight="1" x14ac:dyDescent="0.2">
      <c r="A467" s="1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 t="str">
        <f t="shared" si="45"/>
        <v/>
      </c>
      <c r="O467" s="19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5.75" customHeight="1" x14ac:dyDescent="0.2">
      <c r="A468" s="1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 t="str">
        <f t="shared" si="45"/>
        <v/>
      </c>
      <c r="O468" s="19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5.75" customHeight="1" x14ac:dyDescent="0.2">
      <c r="A469" s="1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 t="str">
        <f t="shared" si="45"/>
        <v/>
      </c>
      <c r="O469" s="19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5.75" customHeight="1" x14ac:dyDescent="0.2">
      <c r="A470" s="1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 t="str">
        <f t="shared" si="45"/>
        <v/>
      </c>
      <c r="O470" s="19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5.75" customHeight="1" x14ac:dyDescent="0.2">
      <c r="A471" s="1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 t="str">
        <f t="shared" si="45"/>
        <v/>
      </c>
      <c r="O471" s="19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5.75" customHeight="1" x14ac:dyDescent="0.2">
      <c r="A472" s="1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 t="str">
        <f t="shared" si="45"/>
        <v/>
      </c>
      <c r="O472" s="19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5.75" customHeight="1" x14ac:dyDescent="0.2">
      <c r="A473" s="1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 t="str">
        <f t="shared" si="45"/>
        <v/>
      </c>
      <c r="O473" s="19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5.75" customHeight="1" x14ac:dyDescent="0.2">
      <c r="A474" s="1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 t="str">
        <f t="shared" si="45"/>
        <v/>
      </c>
      <c r="O474" s="19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5.75" customHeight="1" x14ac:dyDescent="0.2">
      <c r="A475" s="1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 t="str">
        <f t="shared" si="45"/>
        <v/>
      </c>
      <c r="O475" s="19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5.75" customHeight="1" x14ac:dyDescent="0.2">
      <c r="A476" s="1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 t="str">
        <f t="shared" si="45"/>
        <v/>
      </c>
      <c r="O476" s="19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5.75" customHeight="1" x14ac:dyDescent="0.2">
      <c r="A477" s="1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 t="str">
        <f t="shared" si="45"/>
        <v/>
      </c>
      <c r="O477" s="19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5.75" customHeight="1" x14ac:dyDescent="0.2">
      <c r="A478" s="1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 t="str">
        <f t="shared" si="45"/>
        <v/>
      </c>
      <c r="O478" s="19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5.75" customHeight="1" x14ac:dyDescent="0.2">
      <c r="A479" s="1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 t="str">
        <f t="shared" si="45"/>
        <v/>
      </c>
      <c r="O479" s="19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5.75" customHeight="1" x14ac:dyDescent="0.2">
      <c r="A480" s="1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 t="str">
        <f t="shared" si="45"/>
        <v/>
      </c>
      <c r="O480" s="19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5.75" customHeight="1" x14ac:dyDescent="0.2">
      <c r="A481" s="1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 t="str">
        <f t="shared" si="45"/>
        <v/>
      </c>
      <c r="O481" s="19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5.75" customHeight="1" x14ac:dyDescent="0.2">
      <c r="A482" s="1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 t="str">
        <f t="shared" si="45"/>
        <v/>
      </c>
      <c r="O482" s="19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5.75" customHeight="1" x14ac:dyDescent="0.2">
      <c r="A483" s="1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 t="str">
        <f t="shared" si="45"/>
        <v/>
      </c>
      <c r="O483" s="19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5.75" customHeight="1" x14ac:dyDescent="0.2">
      <c r="A484" s="1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 t="str">
        <f t="shared" si="45"/>
        <v/>
      </c>
      <c r="O484" s="19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5.75" customHeight="1" x14ac:dyDescent="0.2">
      <c r="A485" s="1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 t="str">
        <f t="shared" si="45"/>
        <v/>
      </c>
      <c r="O485" s="19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5.75" customHeight="1" x14ac:dyDescent="0.2">
      <c r="A486" s="1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 t="str">
        <f t="shared" si="45"/>
        <v/>
      </c>
      <c r="O486" s="19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5.75" customHeight="1" x14ac:dyDescent="0.2">
      <c r="A487" s="1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 t="str">
        <f t="shared" si="45"/>
        <v/>
      </c>
      <c r="O487" s="19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5.75" customHeight="1" x14ac:dyDescent="0.2">
      <c r="A488" s="1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 t="str">
        <f t="shared" si="45"/>
        <v/>
      </c>
      <c r="O488" s="19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5.75" customHeight="1" x14ac:dyDescent="0.2">
      <c r="A489" s="1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 t="str">
        <f t="shared" si="45"/>
        <v/>
      </c>
      <c r="O489" s="19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5.75" customHeight="1" x14ac:dyDescent="0.2">
      <c r="A490" s="1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 t="str">
        <f t="shared" si="45"/>
        <v/>
      </c>
      <c r="O490" s="19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5.75" customHeight="1" x14ac:dyDescent="0.2">
      <c r="A491" s="1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 t="str">
        <f t="shared" si="45"/>
        <v/>
      </c>
      <c r="O491" s="19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5.75" customHeight="1" x14ac:dyDescent="0.2">
      <c r="A492" s="1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 t="str">
        <f t="shared" si="45"/>
        <v/>
      </c>
      <c r="O492" s="19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5.75" customHeight="1" x14ac:dyDescent="0.2">
      <c r="A493" s="1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 t="str">
        <f t="shared" si="45"/>
        <v/>
      </c>
      <c r="O493" s="19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5.75" customHeight="1" x14ac:dyDescent="0.2">
      <c r="A494" s="1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 t="str">
        <f t="shared" si="45"/>
        <v/>
      </c>
      <c r="O494" s="19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5.75" customHeight="1" x14ac:dyDescent="0.2">
      <c r="A495" s="1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 t="str">
        <f t="shared" si="45"/>
        <v/>
      </c>
      <c r="O495" s="19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5.75" customHeight="1" x14ac:dyDescent="0.2">
      <c r="A496" s="1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 t="str">
        <f t="shared" si="45"/>
        <v/>
      </c>
      <c r="O496" s="19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5.75" customHeight="1" x14ac:dyDescent="0.2">
      <c r="A497" s="1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 t="str">
        <f t="shared" si="45"/>
        <v/>
      </c>
      <c r="O497" s="19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5.75" customHeight="1" x14ac:dyDescent="0.2">
      <c r="A498" s="1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 t="str">
        <f t="shared" si="45"/>
        <v/>
      </c>
      <c r="O498" s="19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5.75" customHeight="1" x14ac:dyDescent="0.2">
      <c r="A499" s="1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 t="str">
        <f t="shared" si="45"/>
        <v/>
      </c>
      <c r="O499" s="19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5.75" customHeight="1" x14ac:dyDescent="0.2">
      <c r="A500" s="1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 t="str">
        <f t="shared" si="45"/>
        <v/>
      </c>
      <c r="O500" s="19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5.75" customHeight="1" x14ac:dyDescent="0.2">
      <c r="A501" s="1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 t="str">
        <f t="shared" si="45"/>
        <v/>
      </c>
      <c r="O501" s="19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5.75" customHeight="1" x14ac:dyDescent="0.2">
      <c r="A502" s="1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 t="str">
        <f t="shared" si="45"/>
        <v/>
      </c>
      <c r="O502" s="19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5.75" customHeight="1" x14ac:dyDescent="0.2">
      <c r="A503" s="1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 t="str">
        <f t="shared" si="45"/>
        <v/>
      </c>
      <c r="O503" s="19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5.75" customHeight="1" x14ac:dyDescent="0.2">
      <c r="A504" s="1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 t="str">
        <f t="shared" si="45"/>
        <v/>
      </c>
      <c r="O504" s="19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5.75" customHeight="1" x14ac:dyDescent="0.2">
      <c r="A505" s="1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 t="str">
        <f t="shared" si="45"/>
        <v/>
      </c>
      <c r="O505" s="19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5.75" customHeight="1" x14ac:dyDescent="0.2">
      <c r="A506" s="1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 t="str">
        <f t="shared" si="45"/>
        <v/>
      </c>
      <c r="O506" s="19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5.75" customHeight="1" x14ac:dyDescent="0.2">
      <c r="A507" s="1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 t="str">
        <f t="shared" si="45"/>
        <v/>
      </c>
      <c r="O507" s="19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5.75" customHeight="1" x14ac:dyDescent="0.2">
      <c r="A508" s="1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 t="str">
        <f t="shared" si="45"/>
        <v/>
      </c>
      <c r="O508" s="19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5.75" customHeight="1" x14ac:dyDescent="0.2">
      <c r="A509" s="1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 t="str">
        <f t="shared" si="45"/>
        <v/>
      </c>
      <c r="O509" s="19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5.75" customHeight="1" x14ac:dyDescent="0.2">
      <c r="A510" s="1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 t="str">
        <f t="shared" si="45"/>
        <v/>
      </c>
      <c r="O510" s="19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5.75" customHeight="1" x14ac:dyDescent="0.2">
      <c r="A511" s="1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 t="str">
        <f t="shared" si="45"/>
        <v/>
      </c>
      <c r="O511" s="19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5.75" customHeight="1" x14ac:dyDescent="0.2">
      <c r="A512" s="1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 t="str">
        <f t="shared" si="45"/>
        <v/>
      </c>
      <c r="O512" s="19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5.75" customHeight="1" x14ac:dyDescent="0.2">
      <c r="A513" s="1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 t="str">
        <f t="shared" si="45"/>
        <v/>
      </c>
      <c r="O513" s="19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5.75" customHeight="1" x14ac:dyDescent="0.2">
      <c r="A514" s="1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 t="str">
        <f t="shared" si="45"/>
        <v/>
      </c>
      <c r="O514" s="19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5.75" customHeight="1" x14ac:dyDescent="0.2">
      <c r="A515" s="1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 t="str">
        <f t="shared" si="45"/>
        <v/>
      </c>
      <c r="O515" s="19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5.75" customHeight="1" x14ac:dyDescent="0.2">
      <c r="A516" s="1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 t="str">
        <f t="shared" si="45"/>
        <v/>
      </c>
      <c r="O516" s="19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5.75" customHeight="1" x14ac:dyDescent="0.2">
      <c r="A517" s="1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 t="str">
        <f t="shared" si="45"/>
        <v/>
      </c>
      <c r="O517" s="19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5.75" customHeight="1" x14ac:dyDescent="0.2">
      <c r="A518" s="1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 t="str">
        <f t="shared" si="45"/>
        <v/>
      </c>
      <c r="O518" s="19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5.75" customHeight="1" x14ac:dyDescent="0.2">
      <c r="A519" s="1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 t="str">
        <f t="shared" si="45"/>
        <v/>
      </c>
      <c r="O519" s="19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5.75" customHeight="1" x14ac:dyDescent="0.2">
      <c r="A520" s="1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 t="str">
        <f t="shared" si="45"/>
        <v/>
      </c>
      <c r="O520" s="19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5.75" customHeight="1" x14ac:dyDescent="0.2">
      <c r="A521" s="1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 t="str">
        <f t="shared" si="45"/>
        <v/>
      </c>
      <c r="O521" s="19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5.75" customHeight="1" x14ac:dyDescent="0.2">
      <c r="A522" s="1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 t="str">
        <f t="shared" si="45"/>
        <v/>
      </c>
      <c r="O522" s="19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5.75" customHeight="1" x14ac:dyDescent="0.2">
      <c r="A523" s="1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 t="str">
        <f t="shared" si="45"/>
        <v/>
      </c>
      <c r="O523" s="19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5.75" customHeight="1" x14ac:dyDescent="0.2">
      <c r="A524" s="1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 t="str">
        <f t="shared" si="45"/>
        <v/>
      </c>
      <c r="O524" s="19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5.75" customHeight="1" x14ac:dyDescent="0.2">
      <c r="A525" s="1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 t="str">
        <f t="shared" si="45"/>
        <v/>
      </c>
      <c r="O525" s="19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5.75" customHeight="1" x14ac:dyDescent="0.2">
      <c r="A526" s="1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 t="str">
        <f t="shared" si="45"/>
        <v/>
      </c>
      <c r="O526" s="19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5.75" customHeight="1" x14ac:dyDescent="0.2">
      <c r="A527" s="1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 t="str">
        <f t="shared" si="45"/>
        <v/>
      </c>
      <c r="O527" s="19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5.75" customHeight="1" x14ac:dyDescent="0.2">
      <c r="A528" s="1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 t="str">
        <f t="shared" si="45"/>
        <v/>
      </c>
      <c r="O528" s="19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5.75" customHeight="1" x14ac:dyDescent="0.2">
      <c r="A529" s="1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 t="str">
        <f t="shared" si="45"/>
        <v/>
      </c>
      <c r="O529" s="19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5.75" customHeight="1" x14ac:dyDescent="0.2">
      <c r="A530" s="1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 t="str">
        <f t="shared" si="45"/>
        <v/>
      </c>
      <c r="O530" s="19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5.75" customHeight="1" x14ac:dyDescent="0.2">
      <c r="A531" s="1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 t="str">
        <f t="shared" si="45"/>
        <v/>
      </c>
      <c r="O531" s="19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5.75" customHeight="1" x14ac:dyDescent="0.2">
      <c r="A532" s="1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 t="str">
        <f t="shared" si="45"/>
        <v/>
      </c>
      <c r="O532" s="19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5.75" customHeight="1" x14ac:dyDescent="0.2">
      <c r="A533" s="1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 t="str">
        <f t="shared" si="45"/>
        <v/>
      </c>
      <c r="O533" s="19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5.75" customHeight="1" x14ac:dyDescent="0.2">
      <c r="A534" s="1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 t="str">
        <f t="shared" si="45"/>
        <v/>
      </c>
      <c r="O534" s="19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5.75" customHeight="1" x14ac:dyDescent="0.2">
      <c r="A535" s="1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 t="str">
        <f t="shared" si="45"/>
        <v/>
      </c>
      <c r="O535" s="19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5.75" customHeight="1" x14ac:dyDescent="0.2">
      <c r="A536" s="1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 t="str">
        <f t="shared" si="45"/>
        <v/>
      </c>
      <c r="O536" s="19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5.75" customHeight="1" x14ac:dyDescent="0.2">
      <c r="A537" s="1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 t="str">
        <f t="shared" si="45"/>
        <v/>
      </c>
      <c r="O537" s="19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5.75" customHeight="1" x14ac:dyDescent="0.2">
      <c r="A538" s="1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 t="str">
        <f t="shared" si="45"/>
        <v/>
      </c>
      <c r="O538" s="19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5.75" customHeight="1" x14ac:dyDescent="0.2">
      <c r="A539" s="1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 t="str">
        <f t="shared" si="45"/>
        <v/>
      </c>
      <c r="O539" s="19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5.75" customHeight="1" x14ac:dyDescent="0.2">
      <c r="A540" s="1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 t="str">
        <f t="shared" si="45"/>
        <v/>
      </c>
      <c r="O540" s="19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5.75" customHeight="1" x14ac:dyDescent="0.2">
      <c r="A541" s="1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 t="str">
        <f t="shared" si="45"/>
        <v/>
      </c>
      <c r="O541" s="19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5.75" customHeight="1" x14ac:dyDescent="0.2">
      <c r="A542" s="1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 t="str">
        <f t="shared" si="45"/>
        <v/>
      </c>
      <c r="O542" s="19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5.75" customHeight="1" x14ac:dyDescent="0.2">
      <c r="A543" s="1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 t="str">
        <f t="shared" si="45"/>
        <v/>
      </c>
      <c r="O543" s="19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5.75" customHeight="1" x14ac:dyDescent="0.2">
      <c r="A544" s="1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 t="str">
        <f t="shared" si="45"/>
        <v/>
      </c>
      <c r="O544" s="19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5.75" customHeight="1" x14ac:dyDescent="0.2">
      <c r="A545" s="1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 t="str">
        <f t="shared" si="45"/>
        <v/>
      </c>
      <c r="O545" s="19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5.75" customHeight="1" x14ac:dyDescent="0.2">
      <c r="A546" s="1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 t="str">
        <f t="shared" si="45"/>
        <v/>
      </c>
      <c r="O546" s="19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5.75" customHeight="1" x14ac:dyDescent="0.2">
      <c r="A547" s="1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 t="str">
        <f t="shared" si="45"/>
        <v/>
      </c>
      <c r="O547" s="19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5.75" customHeight="1" x14ac:dyDescent="0.2">
      <c r="A548" s="1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 t="str">
        <f t="shared" si="45"/>
        <v/>
      </c>
      <c r="O548" s="19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5.75" customHeight="1" x14ac:dyDescent="0.2">
      <c r="A549" s="1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 t="str">
        <f t="shared" si="45"/>
        <v/>
      </c>
      <c r="O549" s="19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5.75" customHeight="1" x14ac:dyDescent="0.2">
      <c r="A550" s="1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 t="str">
        <f t="shared" si="45"/>
        <v/>
      </c>
      <c r="O550" s="19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5.75" customHeight="1" x14ac:dyDescent="0.2">
      <c r="A551" s="1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 t="str">
        <f t="shared" si="45"/>
        <v/>
      </c>
      <c r="O551" s="19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5.75" customHeight="1" x14ac:dyDescent="0.2">
      <c r="A552" s="1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 t="str">
        <f t="shared" si="45"/>
        <v/>
      </c>
      <c r="O552" s="19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5.75" customHeight="1" x14ac:dyDescent="0.2">
      <c r="A553" s="1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 t="str">
        <f t="shared" si="45"/>
        <v/>
      </c>
      <c r="O553" s="19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5.75" customHeight="1" x14ac:dyDescent="0.2">
      <c r="A554" s="1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 t="str">
        <f t="shared" si="45"/>
        <v/>
      </c>
      <c r="O554" s="19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5.75" customHeight="1" x14ac:dyDescent="0.2">
      <c r="A555" s="1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 t="str">
        <f t="shared" si="45"/>
        <v/>
      </c>
      <c r="O555" s="19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5.75" customHeight="1" x14ac:dyDescent="0.2">
      <c r="A556" s="1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 t="str">
        <f t="shared" si="45"/>
        <v/>
      </c>
      <c r="O556" s="19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5.75" customHeight="1" x14ac:dyDescent="0.2">
      <c r="A557" s="1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 t="str">
        <f t="shared" si="45"/>
        <v/>
      </c>
      <c r="O557" s="19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5.75" customHeight="1" x14ac:dyDescent="0.2">
      <c r="A558" s="1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 t="str">
        <f t="shared" si="45"/>
        <v/>
      </c>
      <c r="O558" s="19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5.75" customHeight="1" x14ac:dyDescent="0.2">
      <c r="A559" s="1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 t="str">
        <f t="shared" si="45"/>
        <v/>
      </c>
      <c r="O559" s="19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5.75" customHeight="1" x14ac:dyDescent="0.2">
      <c r="A560" s="1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 t="str">
        <f t="shared" si="45"/>
        <v/>
      </c>
      <c r="O560" s="19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5.75" customHeight="1" x14ac:dyDescent="0.2">
      <c r="A561" s="1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 t="str">
        <f t="shared" si="45"/>
        <v/>
      </c>
      <c r="O561" s="19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5.75" customHeight="1" x14ac:dyDescent="0.2">
      <c r="A562" s="1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 t="str">
        <f t="shared" si="45"/>
        <v/>
      </c>
      <c r="O562" s="19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5.75" customHeight="1" x14ac:dyDescent="0.2">
      <c r="A563" s="1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 t="str">
        <f t="shared" si="45"/>
        <v/>
      </c>
      <c r="O563" s="19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5.75" customHeight="1" x14ac:dyDescent="0.2">
      <c r="A564" s="1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 t="str">
        <f t="shared" si="45"/>
        <v/>
      </c>
      <c r="O564" s="19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5.75" customHeight="1" x14ac:dyDescent="0.2">
      <c r="A565" s="1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 t="str">
        <f t="shared" si="45"/>
        <v/>
      </c>
      <c r="O565" s="19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5.75" customHeight="1" x14ac:dyDescent="0.2">
      <c r="A566" s="1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 t="str">
        <f t="shared" si="45"/>
        <v/>
      </c>
      <c r="O566" s="19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5.75" customHeight="1" x14ac:dyDescent="0.2">
      <c r="A567" s="1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 t="str">
        <f t="shared" si="45"/>
        <v/>
      </c>
      <c r="O567" s="19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5.75" customHeight="1" x14ac:dyDescent="0.2">
      <c r="A568" s="1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 t="str">
        <f t="shared" si="45"/>
        <v/>
      </c>
      <c r="O568" s="19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5.75" customHeight="1" x14ac:dyDescent="0.2">
      <c r="A569" s="1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 t="str">
        <f t="shared" si="45"/>
        <v/>
      </c>
      <c r="O569" s="19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5.75" customHeight="1" x14ac:dyDescent="0.2">
      <c r="A570" s="1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 t="str">
        <f t="shared" si="45"/>
        <v/>
      </c>
      <c r="O570" s="19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5.75" customHeight="1" x14ac:dyDescent="0.2">
      <c r="A571" s="1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 t="str">
        <f t="shared" si="45"/>
        <v/>
      </c>
      <c r="O571" s="19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5.75" customHeight="1" x14ac:dyDescent="0.2">
      <c r="A572" s="1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 t="str">
        <f t="shared" si="45"/>
        <v/>
      </c>
      <c r="O572" s="19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5.75" customHeight="1" x14ac:dyDescent="0.2">
      <c r="A573" s="1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 t="str">
        <f t="shared" si="45"/>
        <v/>
      </c>
      <c r="O573" s="19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5.75" customHeight="1" x14ac:dyDescent="0.2">
      <c r="A574" s="1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 t="str">
        <f t="shared" si="45"/>
        <v/>
      </c>
      <c r="O574" s="19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5.75" customHeight="1" x14ac:dyDescent="0.2">
      <c r="A575" s="1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 t="str">
        <f t="shared" si="45"/>
        <v/>
      </c>
      <c r="O575" s="19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5.75" customHeight="1" x14ac:dyDescent="0.2">
      <c r="A576" s="1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 t="str">
        <f t="shared" si="45"/>
        <v/>
      </c>
      <c r="O576" s="19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5.75" customHeight="1" x14ac:dyDescent="0.2">
      <c r="A577" s="1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 t="str">
        <f t="shared" si="45"/>
        <v/>
      </c>
      <c r="O577" s="19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5.75" customHeight="1" x14ac:dyDescent="0.2">
      <c r="A578" s="1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 t="str">
        <f t="shared" si="45"/>
        <v/>
      </c>
      <c r="O578" s="19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5.75" customHeight="1" x14ac:dyDescent="0.2">
      <c r="A579" s="1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 t="str">
        <f t="shared" si="45"/>
        <v/>
      </c>
      <c r="O579" s="19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5.75" customHeight="1" x14ac:dyDescent="0.2">
      <c r="A580" s="1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 t="str">
        <f t="shared" si="45"/>
        <v/>
      </c>
      <c r="O580" s="19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5.75" customHeight="1" x14ac:dyDescent="0.2">
      <c r="A581" s="1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 t="str">
        <f t="shared" si="45"/>
        <v/>
      </c>
      <c r="O581" s="19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5.75" customHeight="1" x14ac:dyDescent="0.2">
      <c r="A582" s="1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 t="str">
        <f t="shared" si="45"/>
        <v/>
      </c>
      <c r="O582" s="19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5.75" customHeight="1" x14ac:dyDescent="0.2">
      <c r="A583" s="1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 t="str">
        <f t="shared" si="45"/>
        <v/>
      </c>
      <c r="O583" s="19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5.75" customHeight="1" x14ac:dyDescent="0.2">
      <c r="A584" s="1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 t="str">
        <f t="shared" si="45"/>
        <v/>
      </c>
      <c r="O584" s="19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5.75" customHeight="1" x14ac:dyDescent="0.2">
      <c r="A585" s="1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 t="str">
        <f t="shared" si="45"/>
        <v/>
      </c>
      <c r="O585" s="19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5.75" customHeight="1" x14ac:dyDescent="0.2">
      <c r="A586" s="1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 t="str">
        <f t="shared" si="45"/>
        <v/>
      </c>
      <c r="O586" s="19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5.75" customHeight="1" x14ac:dyDescent="0.2">
      <c r="A587" s="1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 t="str">
        <f t="shared" si="45"/>
        <v/>
      </c>
      <c r="O587" s="19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5.75" customHeight="1" x14ac:dyDescent="0.2">
      <c r="A588" s="1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 t="str">
        <f t="shared" si="45"/>
        <v/>
      </c>
      <c r="O588" s="19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5.75" customHeight="1" x14ac:dyDescent="0.2">
      <c r="A589" s="1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 t="str">
        <f t="shared" si="45"/>
        <v/>
      </c>
      <c r="O589" s="19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5.75" customHeight="1" x14ac:dyDescent="0.2">
      <c r="A590" s="1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 t="str">
        <f t="shared" si="45"/>
        <v/>
      </c>
      <c r="O590" s="19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5.75" customHeight="1" x14ac:dyDescent="0.2">
      <c r="A591" s="1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 t="str">
        <f t="shared" si="45"/>
        <v/>
      </c>
      <c r="O591" s="19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5.75" customHeight="1" x14ac:dyDescent="0.2">
      <c r="A592" s="1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 t="str">
        <f t="shared" si="45"/>
        <v/>
      </c>
      <c r="O592" s="19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5.75" customHeight="1" x14ac:dyDescent="0.2">
      <c r="A593" s="1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 t="str">
        <f t="shared" si="45"/>
        <v/>
      </c>
      <c r="O593" s="19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5.75" customHeight="1" x14ac:dyDescent="0.2">
      <c r="A594" s="1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 t="str">
        <f t="shared" si="45"/>
        <v/>
      </c>
      <c r="O594" s="19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5.75" customHeight="1" x14ac:dyDescent="0.2">
      <c r="A595" s="1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 t="str">
        <f t="shared" si="45"/>
        <v/>
      </c>
      <c r="O595" s="19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5.75" customHeight="1" x14ac:dyDescent="0.2">
      <c r="A596" s="1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 t="str">
        <f t="shared" si="45"/>
        <v/>
      </c>
      <c r="O596" s="19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5.75" customHeight="1" x14ac:dyDescent="0.2">
      <c r="A597" s="1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 t="str">
        <f t="shared" si="45"/>
        <v/>
      </c>
      <c r="O597" s="19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5.75" customHeight="1" x14ac:dyDescent="0.2">
      <c r="A598" s="1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 t="str">
        <f t="shared" si="45"/>
        <v/>
      </c>
      <c r="O598" s="19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5.75" customHeight="1" x14ac:dyDescent="0.2">
      <c r="A599" s="1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 t="str">
        <f t="shared" si="45"/>
        <v/>
      </c>
      <c r="O599" s="19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5.75" customHeight="1" x14ac:dyDescent="0.2">
      <c r="A600" s="1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 t="str">
        <f t="shared" si="45"/>
        <v/>
      </c>
      <c r="O600" s="19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5.75" customHeight="1" x14ac:dyDescent="0.2">
      <c r="A601" s="1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 t="str">
        <f t="shared" si="45"/>
        <v/>
      </c>
      <c r="O601" s="19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5.75" customHeight="1" x14ac:dyDescent="0.2">
      <c r="A602" s="1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 t="str">
        <f t="shared" si="45"/>
        <v/>
      </c>
      <c r="O602" s="19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5.75" customHeight="1" x14ac:dyDescent="0.2">
      <c r="A603" s="1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 t="str">
        <f t="shared" si="45"/>
        <v/>
      </c>
      <c r="O603" s="19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5.75" customHeight="1" x14ac:dyDescent="0.2">
      <c r="A604" s="1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 t="str">
        <f t="shared" si="45"/>
        <v/>
      </c>
      <c r="O604" s="19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5.75" customHeight="1" x14ac:dyDescent="0.2">
      <c r="A605" s="1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 t="str">
        <f t="shared" si="45"/>
        <v/>
      </c>
      <c r="O605" s="19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5.75" customHeight="1" x14ac:dyDescent="0.2">
      <c r="A606" s="1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 t="str">
        <f t="shared" si="45"/>
        <v/>
      </c>
      <c r="O606" s="19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5.75" customHeight="1" x14ac:dyDescent="0.2">
      <c r="A607" s="1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 t="str">
        <f t="shared" si="45"/>
        <v/>
      </c>
      <c r="O607" s="19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5.75" customHeight="1" x14ac:dyDescent="0.2">
      <c r="A608" s="1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 t="str">
        <f t="shared" si="45"/>
        <v/>
      </c>
      <c r="O608" s="19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5.75" customHeight="1" x14ac:dyDescent="0.2">
      <c r="A609" s="1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 t="str">
        <f t="shared" si="45"/>
        <v/>
      </c>
      <c r="O609" s="19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5.75" customHeight="1" x14ac:dyDescent="0.2">
      <c r="A610" s="1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 t="str">
        <f t="shared" si="45"/>
        <v/>
      </c>
      <c r="O610" s="19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5.75" customHeight="1" x14ac:dyDescent="0.2">
      <c r="A611" s="1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 t="str">
        <f t="shared" si="45"/>
        <v/>
      </c>
      <c r="O611" s="19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5.75" customHeight="1" x14ac:dyDescent="0.2">
      <c r="A612" s="1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 t="str">
        <f t="shared" si="45"/>
        <v/>
      </c>
      <c r="O612" s="19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5.75" customHeight="1" x14ac:dyDescent="0.2">
      <c r="A613" s="1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 t="str">
        <f t="shared" si="45"/>
        <v/>
      </c>
      <c r="O613" s="19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5.75" customHeight="1" x14ac:dyDescent="0.2">
      <c r="A614" s="1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 t="str">
        <f t="shared" si="45"/>
        <v/>
      </c>
      <c r="O614" s="19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5.75" customHeight="1" x14ac:dyDescent="0.2">
      <c r="A615" s="1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 t="str">
        <f t="shared" si="45"/>
        <v/>
      </c>
      <c r="O615" s="19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5.75" customHeight="1" x14ac:dyDescent="0.2">
      <c r="A616" s="1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 t="str">
        <f t="shared" si="45"/>
        <v/>
      </c>
      <c r="O616" s="19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5.75" customHeight="1" x14ac:dyDescent="0.2">
      <c r="A617" s="1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 t="str">
        <f t="shared" si="45"/>
        <v/>
      </c>
      <c r="O617" s="19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5.75" customHeight="1" x14ac:dyDescent="0.2">
      <c r="A618" s="1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 t="str">
        <f t="shared" si="45"/>
        <v/>
      </c>
      <c r="O618" s="19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5.75" customHeight="1" x14ac:dyDescent="0.2">
      <c r="A619" s="1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 t="str">
        <f t="shared" si="45"/>
        <v/>
      </c>
      <c r="O619" s="19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5.75" customHeight="1" x14ac:dyDescent="0.2">
      <c r="A620" s="1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 t="str">
        <f t="shared" si="45"/>
        <v/>
      </c>
      <c r="O620" s="19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5.75" customHeight="1" x14ac:dyDescent="0.2">
      <c r="A621" s="1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 t="str">
        <f t="shared" si="45"/>
        <v/>
      </c>
      <c r="O621" s="19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5.75" customHeight="1" x14ac:dyDescent="0.2">
      <c r="A622" s="1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 t="str">
        <f t="shared" si="45"/>
        <v/>
      </c>
      <c r="O622" s="19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5.75" customHeight="1" x14ac:dyDescent="0.2">
      <c r="A623" s="1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 t="str">
        <f t="shared" si="45"/>
        <v/>
      </c>
      <c r="O623" s="19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5.75" customHeight="1" x14ac:dyDescent="0.2">
      <c r="A624" s="1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 t="str">
        <f t="shared" si="45"/>
        <v/>
      </c>
      <c r="O624" s="19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5.75" customHeight="1" x14ac:dyDescent="0.2">
      <c r="A625" s="1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 t="str">
        <f t="shared" si="45"/>
        <v/>
      </c>
      <c r="O625" s="19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5.75" customHeight="1" x14ac:dyDescent="0.2">
      <c r="A626" s="1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 t="str">
        <f t="shared" si="45"/>
        <v/>
      </c>
      <c r="O626" s="19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5.75" customHeight="1" x14ac:dyDescent="0.2">
      <c r="A627" s="1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 t="str">
        <f t="shared" si="45"/>
        <v/>
      </c>
      <c r="O627" s="19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5.75" customHeight="1" x14ac:dyDescent="0.2">
      <c r="A628" s="1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 t="str">
        <f t="shared" si="45"/>
        <v/>
      </c>
      <c r="O628" s="19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5.75" customHeight="1" x14ac:dyDescent="0.2">
      <c r="A629" s="1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 t="str">
        <f t="shared" si="45"/>
        <v/>
      </c>
      <c r="O629" s="19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5.75" customHeight="1" x14ac:dyDescent="0.2">
      <c r="A630" s="1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 t="str">
        <f t="shared" si="45"/>
        <v/>
      </c>
      <c r="O630" s="19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5.75" customHeight="1" x14ac:dyDescent="0.2">
      <c r="A631" s="1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 t="str">
        <f t="shared" si="45"/>
        <v/>
      </c>
      <c r="O631" s="19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5.75" customHeight="1" x14ac:dyDescent="0.2">
      <c r="A632" s="1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 t="str">
        <f t="shared" si="45"/>
        <v/>
      </c>
      <c r="O632" s="19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5.75" customHeight="1" x14ac:dyDescent="0.2">
      <c r="A633" s="1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 t="str">
        <f t="shared" si="45"/>
        <v/>
      </c>
      <c r="O633" s="19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5.75" customHeight="1" x14ac:dyDescent="0.2">
      <c r="A634" s="1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 t="str">
        <f t="shared" si="45"/>
        <v/>
      </c>
      <c r="O634" s="19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5.75" customHeight="1" x14ac:dyDescent="0.2">
      <c r="A635" s="1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 t="str">
        <f t="shared" si="45"/>
        <v/>
      </c>
      <c r="O635" s="19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5.75" customHeight="1" x14ac:dyDescent="0.2">
      <c r="A636" s="1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 t="str">
        <f t="shared" si="45"/>
        <v/>
      </c>
      <c r="O636" s="19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5.75" customHeight="1" x14ac:dyDescent="0.2">
      <c r="A637" s="1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 t="str">
        <f t="shared" si="45"/>
        <v/>
      </c>
      <c r="O637" s="19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5.75" customHeight="1" x14ac:dyDescent="0.2">
      <c r="A638" s="1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 t="str">
        <f t="shared" si="45"/>
        <v/>
      </c>
      <c r="O638" s="19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5.75" customHeight="1" x14ac:dyDescent="0.2">
      <c r="A639" s="1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 t="str">
        <f t="shared" si="45"/>
        <v/>
      </c>
      <c r="O639" s="19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5.75" customHeight="1" x14ac:dyDescent="0.2">
      <c r="A640" s="1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 t="str">
        <f t="shared" si="45"/>
        <v/>
      </c>
      <c r="O640" s="19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5.75" customHeight="1" x14ac:dyDescent="0.2">
      <c r="A641" s="1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 t="str">
        <f t="shared" si="45"/>
        <v/>
      </c>
      <c r="O641" s="19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5.75" customHeight="1" x14ac:dyDescent="0.2">
      <c r="A642" s="1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 t="str">
        <f t="shared" si="45"/>
        <v/>
      </c>
      <c r="O642" s="19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5.75" customHeight="1" x14ac:dyDescent="0.2">
      <c r="A643" s="1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 t="str">
        <f t="shared" si="45"/>
        <v/>
      </c>
      <c r="O643" s="19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5.75" customHeight="1" x14ac:dyDescent="0.2">
      <c r="A644" s="1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 t="str">
        <f t="shared" si="45"/>
        <v/>
      </c>
      <c r="O644" s="19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5.75" customHeight="1" x14ac:dyDescent="0.2">
      <c r="A645" s="1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 t="str">
        <f t="shared" si="45"/>
        <v/>
      </c>
      <c r="O645" s="19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5.75" customHeight="1" x14ac:dyDescent="0.2">
      <c r="A646" s="1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 t="str">
        <f t="shared" si="45"/>
        <v/>
      </c>
      <c r="O646" s="19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5.75" customHeight="1" x14ac:dyDescent="0.2">
      <c r="A647" s="1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 t="str">
        <f t="shared" si="45"/>
        <v/>
      </c>
      <c r="O647" s="19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5.75" customHeight="1" x14ac:dyDescent="0.2">
      <c r="A648" s="1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 t="str">
        <f t="shared" si="45"/>
        <v/>
      </c>
      <c r="O648" s="19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5.75" customHeight="1" x14ac:dyDescent="0.2">
      <c r="A649" s="1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 t="str">
        <f t="shared" si="45"/>
        <v/>
      </c>
      <c r="O649" s="19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5.75" customHeight="1" x14ac:dyDescent="0.2">
      <c r="A650" s="1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 t="str">
        <f t="shared" si="45"/>
        <v/>
      </c>
      <c r="O650" s="19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5.75" customHeight="1" x14ac:dyDescent="0.2">
      <c r="A651" s="1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 t="str">
        <f t="shared" si="45"/>
        <v/>
      </c>
      <c r="O651" s="19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5.75" customHeight="1" x14ac:dyDescent="0.2">
      <c r="A652" s="1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 t="str">
        <f t="shared" si="45"/>
        <v/>
      </c>
      <c r="O652" s="19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5.75" customHeight="1" x14ac:dyDescent="0.2">
      <c r="A653" s="1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 t="str">
        <f t="shared" si="45"/>
        <v/>
      </c>
      <c r="O653" s="19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5.75" customHeight="1" x14ac:dyDescent="0.2">
      <c r="A654" s="1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 t="str">
        <f t="shared" si="45"/>
        <v/>
      </c>
      <c r="O654" s="19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5.75" customHeight="1" x14ac:dyDescent="0.2">
      <c r="A655" s="1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 t="str">
        <f t="shared" si="45"/>
        <v/>
      </c>
      <c r="O655" s="19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5.75" customHeight="1" x14ac:dyDescent="0.2">
      <c r="A656" s="1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 t="str">
        <f t="shared" si="45"/>
        <v/>
      </c>
      <c r="O656" s="19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5.75" customHeight="1" x14ac:dyDescent="0.2">
      <c r="A657" s="1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 t="str">
        <f t="shared" si="45"/>
        <v/>
      </c>
      <c r="O657" s="19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5.75" customHeight="1" x14ac:dyDescent="0.2">
      <c r="A658" s="1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 t="str">
        <f t="shared" si="45"/>
        <v/>
      </c>
      <c r="O658" s="19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5.75" customHeight="1" x14ac:dyDescent="0.2">
      <c r="A659" s="1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 t="str">
        <f t="shared" si="45"/>
        <v/>
      </c>
      <c r="O659" s="19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5.75" customHeight="1" x14ac:dyDescent="0.2">
      <c r="A660" s="1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 t="str">
        <f t="shared" si="45"/>
        <v/>
      </c>
      <c r="O660" s="19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5.75" customHeight="1" x14ac:dyDescent="0.2">
      <c r="A661" s="1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 t="str">
        <f t="shared" ref="N661:N735" si="46">IF(K661+L661+M661 =0,"", K661+L661+M661)</f>
        <v/>
      </c>
      <c r="O661" s="19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5.75" customHeight="1" x14ac:dyDescent="0.2">
      <c r="A662" s="1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 t="str">
        <f t="shared" si="46"/>
        <v/>
      </c>
      <c r="O662" s="19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5.75" customHeight="1" x14ac:dyDescent="0.2">
      <c r="A663" s="1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 t="str">
        <f t="shared" si="46"/>
        <v/>
      </c>
      <c r="O663" s="19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5.75" customHeight="1" x14ac:dyDescent="0.2">
      <c r="A664" s="1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 t="str">
        <f t="shared" si="46"/>
        <v/>
      </c>
      <c r="O664" s="19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5.75" customHeight="1" x14ac:dyDescent="0.2">
      <c r="A665" s="1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 t="str">
        <f t="shared" si="46"/>
        <v/>
      </c>
      <c r="O665" s="19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5.75" customHeight="1" x14ac:dyDescent="0.2">
      <c r="A666" s="1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 t="str">
        <f t="shared" si="46"/>
        <v/>
      </c>
      <c r="O666" s="19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5.75" customHeight="1" x14ac:dyDescent="0.2">
      <c r="A667" s="1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 t="str">
        <f t="shared" si="46"/>
        <v/>
      </c>
      <c r="O667" s="19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5.75" customHeight="1" x14ac:dyDescent="0.2">
      <c r="A668" s="1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 t="str">
        <f t="shared" si="46"/>
        <v/>
      </c>
      <c r="O668" s="19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5.75" customHeight="1" x14ac:dyDescent="0.2">
      <c r="A669" s="1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 t="str">
        <f t="shared" si="46"/>
        <v/>
      </c>
      <c r="O669" s="19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5.75" customHeight="1" x14ac:dyDescent="0.2">
      <c r="A670" s="1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 t="str">
        <f t="shared" si="46"/>
        <v/>
      </c>
      <c r="O670" s="19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5.75" customHeight="1" x14ac:dyDescent="0.2">
      <c r="A671" s="1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 t="str">
        <f t="shared" si="46"/>
        <v/>
      </c>
      <c r="O671" s="5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5.75" customHeight="1" x14ac:dyDescent="0.2">
      <c r="A672" s="1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 t="str">
        <f t="shared" si="46"/>
        <v/>
      </c>
      <c r="O672" s="5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5.75" customHeight="1" x14ac:dyDescent="0.2">
      <c r="A673" s="1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 t="str">
        <f t="shared" si="46"/>
        <v/>
      </c>
      <c r="O673" s="5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5.75" customHeight="1" x14ac:dyDescent="0.2">
      <c r="A674" s="1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 t="str">
        <f t="shared" si="46"/>
        <v/>
      </c>
      <c r="O674" s="5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5.75" customHeight="1" x14ac:dyDescent="0.2">
      <c r="A675" s="1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 t="str">
        <f t="shared" si="46"/>
        <v/>
      </c>
      <c r="O675" s="5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5.75" customHeight="1" x14ac:dyDescent="0.2">
      <c r="A676" s="1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 t="str">
        <f t="shared" si="46"/>
        <v/>
      </c>
      <c r="O676" s="5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5.75" customHeight="1" x14ac:dyDescent="0.2">
      <c r="A677" s="1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 t="str">
        <f t="shared" si="46"/>
        <v/>
      </c>
      <c r="O677" s="5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5.75" customHeight="1" x14ac:dyDescent="0.2">
      <c r="A678" s="1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 t="str">
        <f t="shared" si="46"/>
        <v/>
      </c>
      <c r="O678" s="5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5.75" customHeight="1" x14ac:dyDescent="0.2">
      <c r="A679" s="1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 t="str">
        <f t="shared" si="46"/>
        <v/>
      </c>
      <c r="O679" s="5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5.75" customHeight="1" x14ac:dyDescent="0.2">
      <c r="A680" s="1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 t="str">
        <f t="shared" si="46"/>
        <v/>
      </c>
      <c r="O680" s="5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5.75" customHeight="1" x14ac:dyDescent="0.2">
      <c r="A681" s="1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 t="str">
        <f t="shared" si="46"/>
        <v/>
      </c>
      <c r="O681" s="5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5.75" customHeight="1" x14ac:dyDescent="0.2">
      <c r="A682" s="1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 t="str">
        <f t="shared" si="46"/>
        <v/>
      </c>
      <c r="O682" s="5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5.75" customHeight="1" x14ac:dyDescent="0.2">
      <c r="A683" s="1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 t="str">
        <f t="shared" si="46"/>
        <v/>
      </c>
      <c r="O683" s="5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5.75" customHeight="1" x14ac:dyDescent="0.2">
      <c r="A684" s="1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 t="str">
        <f t="shared" si="46"/>
        <v/>
      </c>
      <c r="O684" s="5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5.75" customHeight="1" x14ac:dyDescent="0.2">
      <c r="A685" s="1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 t="str">
        <f t="shared" si="46"/>
        <v/>
      </c>
      <c r="O685" s="5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5.75" customHeight="1" x14ac:dyDescent="0.2">
      <c r="A686" s="1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 t="str">
        <f t="shared" si="46"/>
        <v/>
      </c>
      <c r="O686" s="5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5.75" customHeight="1" x14ac:dyDescent="0.2">
      <c r="A687" s="1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 t="str">
        <f t="shared" si="46"/>
        <v/>
      </c>
      <c r="O687" s="5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5.75" customHeight="1" x14ac:dyDescent="0.2">
      <c r="A688" s="1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 t="str">
        <f t="shared" si="46"/>
        <v/>
      </c>
      <c r="O688" s="5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5.75" customHeight="1" x14ac:dyDescent="0.2">
      <c r="A689" s="1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 t="str">
        <f t="shared" si="46"/>
        <v/>
      </c>
      <c r="O689" s="5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5.75" customHeight="1" x14ac:dyDescent="0.2">
      <c r="A690" s="1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 t="str">
        <f t="shared" si="46"/>
        <v/>
      </c>
      <c r="O690" s="5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5.75" customHeight="1" x14ac:dyDescent="0.2">
      <c r="A691" s="1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 t="str">
        <f t="shared" si="46"/>
        <v/>
      </c>
      <c r="O691" s="5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5.75" customHeight="1" x14ac:dyDescent="0.2">
      <c r="A692" s="1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 t="str">
        <f t="shared" si="46"/>
        <v/>
      </c>
      <c r="O692" s="5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5.75" customHeight="1" x14ac:dyDescent="0.2">
      <c r="A693" s="1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 t="str">
        <f t="shared" si="46"/>
        <v/>
      </c>
      <c r="O693" s="5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5.75" customHeight="1" x14ac:dyDescent="0.2">
      <c r="A694" s="1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 t="str">
        <f t="shared" si="46"/>
        <v/>
      </c>
      <c r="O694" s="5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5.75" customHeight="1" x14ac:dyDescent="0.2">
      <c r="A695" s="1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 t="str">
        <f t="shared" si="46"/>
        <v/>
      </c>
      <c r="O695" s="5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5.75" customHeight="1" x14ac:dyDescent="0.2">
      <c r="A696" s="1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 t="str">
        <f t="shared" si="46"/>
        <v/>
      </c>
      <c r="O696" s="5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5.75" customHeight="1" x14ac:dyDescent="0.2">
      <c r="A697" s="1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 t="str">
        <f t="shared" si="46"/>
        <v/>
      </c>
      <c r="O697" s="5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5.75" customHeight="1" x14ac:dyDescent="0.2">
      <c r="A698" s="1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 t="str">
        <f t="shared" si="46"/>
        <v/>
      </c>
      <c r="O698" s="5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5.75" customHeight="1" x14ac:dyDescent="0.2">
      <c r="A699" s="1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 t="str">
        <f t="shared" si="46"/>
        <v/>
      </c>
      <c r="O699" s="5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5.75" customHeight="1" x14ac:dyDescent="0.2">
      <c r="A700" s="1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 t="str">
        <f t="shared" si="46"/>
        <v/>
      </c>
      <c r="O700" s="5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5.75" customHeight="1" x14ac:dyDescent="0.2">
      <c r="A701" s="1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 t="str">
        <f t="shared" si="46"/>
        <v/>
      </c>
      <c r="O701" s="5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5.75" customHeight="1" x14ac:dyDescent="0.2">
      <c r="A702" s="1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 t="str">
        <f t="shared" si="46"/>
        <v/>
      </c>
      <c r="O702" s="5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5.75" customHeight="1" x14ac:dyDescent="0.2">
      <c r="A703" s="1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 t="str">
        <f t="shared" si="46"/>
        <v/>
      </c>
      <c r="O703" s="5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5.75" customHeight="1" x14ac:dyDescent="0.2">
      <c r="A704" s="1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 t="str">
        <f t="shared" si="46"/>
        <v/>
      </c>
      <c r="O704" s="5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5.75" customHeight="1" x14ac:dyDescent="0.2">
      <c r="A705" s="1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 t="str">
        <f t="shared" si="46"/>
        <v/>
      </c>
      <c r="O705" s="5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5.75" customHeight="1" x14ac:dyDescent="0.2">
      <c r="A706" s="1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 t="str">
        <f t="shared" si="46"/>
        <v/>
      </c>
      <c r="O706" s="5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5.75" customHeight="1" x14ac:dyDescent="0.2">
      <c r="A707" s="1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 t="str">
        <f t="shared" si="46"/>
        <v/>
      </c>
      <c r="O707" s="5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5.75" customHeight="1" x14ac:dyDescent="0.2">
      <c r="A708" s="1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 t="str">
        <f t="shared" si="46"/>
        <v/>
      </c>
      <c r="O708" s="5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5.75" customHeight="1" x14ac:dyDescent="0.2">
      <c r="A709" s="1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 t="str">
        <f t="shared" si="46"/>
        <v/>
      </c>
      <c r="O709" s="5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5.75" customHeight="1" x14ac:dyDescent="0.2">
      <c r="A710" s="1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 t="str">
        <f t="shared" si="46"/>
        <v/>
      </c>
      <c r="O710" s="5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5.75" customHeight="1" x14ac:dyDescent="0.2">
      <c r="A711" s="1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 t="str">
        <f t="shared" si="46"/>
        <v/>
      </c>
      <c r="O711" s="5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5.75" customHeight="1" x14ac:dyDescent="0.2">
      <c r="A712" s="1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 t="str">
        <f t="shared" si="46"/>
        <v/>
      </c>
      <c r="O712" s="5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5.75" customHeight="1" x14ac:dyDescent="0.2">
      <c r="A713" s="1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 t="str">
        <f t="shared" si="46"/>
        <v/>
      </c>
      <c r="O713" s="5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5.75" customHeight="1" x14ac:dyDescent="0.2">
      <c r="A714" s="1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 t="str">
        <f t="shared" si="46"/>
        <v/>
      </c>
      <c r="O714" s="5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5.75" customHeight="1" x14ac:dyDescent="0.2">
      <c r="A715" s="1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 t="str">
        <f t="shared" si="46"/>
        <v/>
      </c>
      <c r="O715" s="5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5.75" customHeight="1" x14ac:dyDescent="0.2">
      <c r="A716" s="1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 t="str">
        <f t="shared" si="46"/>
        <v/>
      </c>
      <c r="O716" s="5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5.75" customHeight="1" x14ac:dyDescent="0.2">
      <c r="A717" s="1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 t="str">
        <f t="shared" si="46"/>
        <v/>
      </c>
      <c r="O717" s="5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5.75" customHeight="1" x14ac:dyDescent="0.2">
      <c r="A718" s="1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 t="str">
        <f t="shared" si="46"/>
        <v/>
      </c>
      <c r="O718" s="5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5.75" customHeight="1" x14ac:dyDescent="0.2">
      <c r="A719" s="1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 t="str">
        <f t="shared" si="46"/>
        <v/>
      </c>
      <c r="O719" s="5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5.75" customHeight="1" x14ac:dyDescent="0.2">
      <c r="A720" s="1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 t="str">
        <f t="shared" si="46"/>
        <v/>
      </c>
      <c r="O720" s="5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5.75" customHeight="1" x14ac:dyDescent="0.2">
      <c r="A721" s="1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 t="str">
        <f t="shared" si="46"/>
        <v/>
      </c>
      <c r="O721" s="5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5.75" customHeight="1" x14ac:dyDescent="0.2">
      <c r="A722" s="1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 t="str">
        <f t="shared" si="46"/>
        <v/>
      </c>
      <c r="O722" s="5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5.75" customHeight="1" x14ac:dyDescent="0.2">
      <c r="A723" s="1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 t="str">
        <f t="shared" si="46"/>
        <v/>
      </c>
      <c r="O723" s="5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5.75" customHeight="1" x14ac:dyDescent="0.2">
      <c r="A724" s="1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 t="str">
        <f t="shared" si="46"/>
        <v/>
      </c>
      <c r="O724" s="5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5.75" customHeight="1" x14ac:dyDescent="0.2">
      <c r="A725" s="1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 t="str">
        <f t="shared" si="46"/>
        <v/>
      </c>
      <c r="O725" s="5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5.75" customHeight="1" x14ac:dyDescent="0.2">
      <c r="A726" s="1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 t="str">
        <f t="shared" si="46"/>
        <v/>
      </c>
      <c r="O726" s="5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5.75" customHeight="1" x14ac:dyDescent="0.2">
      <c r="A727" s="1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 t="str">
        <f t="shared" si="46"/>
        <v/>
      </c>
      <c r="O727" s="5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5.75" customHeight="1" x14ac:dyDescent="0.2">
      <c r="A728" s="1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 t="str">
        <f t="shared" si="46"/>
        <v/>
      </c>
      <c r="O728" s="5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5.75" customHeight="1" x14ac:dyDescent="0.2">
      <c r="A729" s="1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 t="str">
        <f t="shared" si="46"/>
        <v/>
      </c>
      <c r="O729" s="5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5.75" customHeight="1" x14ac:dyDescent="0.2">
      <c r="A730" s="1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 t="str">
        <f t="shared" si="46"/>
        <v/>
      </c>
      <c r="O730" s="5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5.75" customHeight="1" x14ac:dyDescent="0.2">
      <c r="A731" s="1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 t="str">
        <f t="shared" si="46"/>
        <v/>
      </c>
      <c r="O731" s="5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5.75" customHeight="1" x14ac:dyDescent="0.2">
      <c r="A732" s="1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 t="str">
        <f t="shared" si="46"/>
        <v/>
      </c>
      <c r="O732" s="5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5.75" customHeight="1" x14ac:dyDescent="0.2">
      <c r="A733" s="1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 t="str">
        <f t="shared" si="46"/>
        <v/>
      </c>
      <c r="O733" s="5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5.75" customHeight="1" x14ac:dyDescent="0.2">
      <c r="A734" s="1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 t="str">
        <f t="shared" si="46"/>
        <v/>
      </c>
      <c r="O734" s="5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5.75" customHeight="1" x14ac:dyDescent="0.2">
      <c r="A735" s="1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 t="str">
        <f t="shared" si="46"/>
        <v/>
      </c>
      <c r="O735" s="5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5.75" customHeight="1" x14ac:dyDescent="0.2">
      <c r="A736" s="1"/>
      <c r="B736" s="2"/>
      <c r="C736" s="3"/>
      <c r="D736" s="3"/>
      <c r="E736" s="3"/>
      <c r="F736" s="3"/>
      <c r="G736" s="3"/>
      <c r="H736" s="4"/>
      <c r="I736" s="3"/>
      <c r="J736" s="5"/>
      <c r="K736" s="3"/>
      <c r="L736" s="3"/>
      <c r="M736" s="3"/>
      <c r="N736" s="3"/>
      <c r="O736" s="5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5.75" customHeight="1" x14ac:dyDescent="0.2">
      <c r="A737" s="1"/>
      <c r="B737" s="2"/>
      <c r="C737" s="3"/>
      <c r="D737" s="3"/>
      <c r="E737" s="3"/>
      <c r="F737" s="3"/>
      <c r="G737" s="3"/>
      <c r="H737" s="4"/>
      <c r="I737" s="3"/>
      <c r="J737" s="5"/>
      <c r="K737" s="3"/>
      <c r="L737" s="3"/>
      <c r="M737" s="3"/>
      <c r="N737" s="3"/>
      <c r="O737" s="5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5.75" customHeight="1" x14ac:dyDescent="0.2">
      <c r="A738" s="1"/>
      <c r="B738" s="2"/>
      <c r="C738" s="3"/>
      <c r="D738" s="3"/>
      <c r="E738" s="3"/>
      <c r="F738" s="3"/>
      <c r="G738" s="3"/>
      <c r="H738" s="4"/>
      <c r="I738" s="3"/>
      <c r="J738" s="5"/>
      <c r="K738" s="3"/>
      <c r="L738" s="3"/>
      <c r="M738" s="3"/>
      <c r="N738" s="3"/>
      <c r="O738" s="5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5.75" customHeight="1" x14ac:dyDescent="0.2">
      <c r="A739" s="1"/>
      <c r="B739" s="2"/>
      <c r="C739" s="3"/>
      <c r="D739" s="3"/>
      <c r="E739" s="3"/>
      <c r="F739" s="3"/>
      <c r="G739" s="3"/>
      <c r="H739" s="4"/>
      <c r="I739" s="3"/>
      <c r="J739" s="5"/>
      <c r="K739" s="3"/>
      <c r="L739" s="3"/>
      <c r="M739" s="3"/>
      <c r="N739" s="3"/>
      <c r="O739" s="5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5.75" customHeight="1" x14ac:dyDescent="0.2">
      <c r="A740" s="1"/>
      <c r="B740" s="2"/>
      <c r="C740" s="3"/>
      <c r="D740" s="3"/>
      <c r="E740" s="3"/>
      <c r="F740" s="3"/>
      <c r="G740" s="3"/>
      <c r="H740" s="4"/>
      <c r="I740" s="3"/>
      <c r="J740" s="5"/>
      <c r="K740" s="3"/>
      <c r="L740" s="3"/>
      <c r="M740" s="3"/>
      <c r="N740" s="3"/>
      <c r="O740" s="5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5.75" customHeight="1" x14ac:dyDescent="0.2">
      <c r="A741" s="1"/>
      <c r="B741" s="2"/>
      <c r="C741" s="3"/>
      <c r="D741" s="3"/>
      <c r="E741" s="3"/>
      <c r="F741" s="3"/>
      <c r="G741" s="3"/>
      <c r="H741" s="4"/>
      <c r="I741" s="3"/>
      <c r="J741" s="5"/>
      <c r="K741" s="3"/>
      <c r="L741" s="3"/>
      <c r="M741" s="3"/>
      <c r="N741" s="3"/>
      <c r="O741" s="5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5.75" customHeight="1" x14ac:dyDescent="0.2">
      <c r="A742" s="1"/>
      <c r="B742" s="2"/>
      <c r="C742" s="3"/>
      <c r="D742" s="3"/>
      <c r="E742" s="3"/>
      <c r="F742" s="3"/>
      <c r="G742" s="3"/>
      <c r="H742" s="4"/>
      <c r="I742" s="3"/>
      <c r="J742" s="5"/>
      <c r="K742" s="3"/>
      <c r="L742" s="3"/>
      <c r="M742" s="3"/>
      <c r="N742" s="3"/>
      <c r="O742" s="5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5.75" customHeight="1" x14ac:dyDescent="0.2">
      <c r="A743" s="1"/>
      <c r="B743" s="2"/>
      <c r="C743" s="3"/>
      <c r="D743" s="3"/>
      <c r="E743" s="3"/>
      <c r="F743" s="3"/>
      <c r="G743" s="3"/>
      <c r="H743" s="4"/>
      <c r="I743" s="3"/>
      <c r="J743" s="5"/>
      <c r="K743" s="3"/>
      <c r="L743" s="3"/>
      <c r="M743" s="3"/>
      <c r="N743" s="3"/>
      <c r="O743" s="5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5.75" customHeight="1" x14ac:dyDescent="0.2">
      <c r="A744" s="1"/>
      <c r="B744" s="2"/>
      <c r="C744" s="3"/>
      <c r="D744" s="3"/>
      <c r="E744" s="3"/>
      <c r="F744" s="3"/>
      <c r="G744" s="3"/>
      <c r="H744" s="4"/>
      <c r="I744" s="3"/>
      <c r="J744" s="5"/>
      <c r="K744" s="3"/>
      <c r="L744" s="3"/>
      <c r="M744" s="3"/>
      <c r="N744" s="3"/>
      <c r="O744" s="5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5.75" customHeight="1" x14ac:dyDescent="0.2">
      <c r="A745" s="1"/>
      <c r="B745" s="2"/>
      <c r="C745" s="3"/>
      <c r="D745" s="3"/>
      <c r="E745" s="3"/>
      <c r="F745" s="3"/>
      <c r="G745" s="3"/>
      <c r="H745" s="4"/>
      <c r="I745" s="3"/>
      <c r="J745" s="5"/>
      <c r="K745" s="3"/>
      <c r="L745" s="3"/>
      <c r="M745" s="3"/>
      <c r="N745" s="3"/>
      <c r="O745" s="5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5.75" customHeight="1" x14ac:dyDescent="0.2">
      <c r="A746" s="1"/>
      <c r="B746" s="2"/>
      <c r="C746" s="3"/>
      <c r="D746" s="3"/>
      <c r="E746" s="3"/>
      <c r="F746" s="3"/>
      <c r="G746" s="3"/>
      <c r="H746" s="4"/>
      <c r="I746" s="3"/>
      <c r="J746" s="5"/>
      <c r="K746" s="3"/>
      <c r="L746" s="3"/>
      <c r="M746" s="3"/>
      <c r="N746" s="3"/>
      <c r="O746" s="5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5.75" customHeight="1" x14ac:dyDescent="0.2">
      <c r="A747" s="1"/>
      <c r="B747" s="2"/>
      <c r="C747" s="3"/>
      <c r="D747" s="3"/>
      <c r="E747" s="3"/>
      <c r="F747" s="3"/>
      <c r="G747" s="3"/>
      <c r="H747" s="4"/>
      <c r="I747" s="3"/>
      <c r="J747" s="5"/>
      <c r="K747" s="3"/>
      <c r="L747" s="3"/>
      <c r="M747" s="3"/>
      <c r="N747" s="3"/>
      <c r="O747" s="5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5.75" customHeight="1" x14ac:dyDescent="0.2">
      <c r="A748" s="1"/>
      <c r="B748" s="2"/>
      <c r="C748" s="3"/>
      <c r="D748" s="3"/>
      <c r="E748" s="3"/>
      <c r="F748" s="3"/>
      <c r="G748" s="3"/>
      <c r="H748" s="4"/>
      <c r="I748" s="3"/>
      <c r="J748" s="5"/>
      <c r="K748" s="3"/>
      <c r="L748" s="3"/>
      <c r="M748" s="3"/>
      <c r="N748" s="3"/>
      <c r="O748" s="5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5.75" customHeight="1" x14ac:dyDescent="0.2">
      <c r="A749" s="1"/>
      <c r="B749" s="2"/>
      <c r="C749" s="3"/>
      <c r="D749" s="3"/>
      <c r="E749" s="3"/>
      <c r="F749" s="3"/>
      <c r="G749" s="3"/>
      <c r="H749" s="4"/>
      <c r="I749" s="3"/>
      <c r="J749" s="5"/>
      <c r="K749" s="3"/>
      <c r="L749" s="3"/>
      <c r="M749" s="3"/>
      <c r="N749" s="3"/>
      <c r="O749" s="5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5.75" customHeight="1" x14ac:dyDescent="0.2">
      <c r="A750" s="1"/>
      <c r="B750" s="2"/>
      <c r="C750" s="3"/>
      <c r="D750" s="3"/>
      <c r="E750" s="3"/>
      <c r="F750" s="3"/>
      <c r="G750" s="3"/>
      <c r="H750" s="4"/>
      <c r="I750" s="3"/>
      <c r="J750" s="5"/>
      <c r="K750" s="3"/>
      <c r="L750" s="3"/>
      <c r="M750" s="3"/>
      <c r="N750" s="3"/>
      <c r="O750" s="5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5.75" customHeight="1" x14ac:dyDescent="0.2">
      <c r="A751" s="1"/>
      <c r="B751" s="2"/>
      <c r="C751" s="3"/>
      <c r="D751" s="3"/>
      <c r="E751" s="3"/>
      <c r="F751" s="3"/>
      <c r="G751" s="3"/>
      <c r="H751" s="4"/>
      <c r="I751" s="3"/>
      <c r="J751" s="5"/>
      <c r="K751" s="3"/>
      <c r="L751" s="3"/>
      <c r="M751" s="3"/>
      <c r="N751" s="3"/>
      <c r="O751" s="5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5.75" customHeight="1" x14ac:dyDescent="0.2">
      <c r="A752" s="1"/>
      <c r="B752" s="2"/>
      <c r="C752" s="3"/>
      <c r="D752" s="3"/>
      <c r="E752" s="3"/>
      <c r="F752" s="3"/>
      <c r="G752" s="3"/>
      <c r="H752" s="4"/>
      <c r="I752" s="3"/>
      <c r="J752" s="5"/>
      <c r="K752" s="3"/>
      <c r="L752" s="3"/>
      <c r="M752" s="3"/>
      <c r="N752" s="3"/>
      <c r="O752" s="5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5.75" customHeight="1" x14ac:dyDescent="0.2">
      <c r="A753" s="1"/>
      <c r="B753" s="2"/>
      <c r="C753" s="3"/>
      <c r="D753" s="3"/>
      <c r="E753" s="3"/>
      <c r="F753" s="3"/>
      <c r="G753" s="3"/>
      <c r="H753" s="4"/>
      <c r="I753" s="3"/>
      <c r="J753" s="5"/>
      <c r="K753" s="3"/>
      <c r="L753" s="3"/>
      <c r="M753" s="3"/>
      <c r="N753" s="3"/>
      <c r="O753" s="5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5.75" customHeight="1" x14ac:dyDescent="0.2">
      <c r="A754" s="1"/>
      <c r="B754" s="2"/>
      <c r="C754" s="3"/>
      <c r="D754" s="3"/>
      <c r="E754" s="3"/>
      <c r="F754" s="3"/>
      <c r="G754" s="3"/>
      <c r="H754" s="4"/>
      <c r="I754" s="3"/>
      <c r="J754" s="5"/>
      <c r="K754" s="3"/>
      <c r="L754" s="3"/>
      <c r="M754" s="3"/>
      <c r="N754" s="3"/>
      <c r="O754" s="5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5.75" customHeight="1" x14ac:dyDescent="0.2">
      <c r="A755" s="1"/>
      <c r="B755" s="2"/>
      <c r="C755" s="3"/>
      <c r="D755" s="3"/>
      <c r="E755" s="3"/>
      <c r="F755" s="3"/>
      <c r="G755" s="3"/>
      <c r="H755" s="4"/>
      <c r="I755" s="3"/>
      <c r="J755" s="5"/>
      <c r="K755" s="3"/>
      <c r="L755" s="3"/>
      <c r="M755" s="3"/>
      <c r="N755" s="3"/>
      <c r="O755" s="5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5.75" customHeight="1" x14ac:dyDescent="0.2">
      <c r="A756" s="1"/>
      <c r="B756" s="2"/>
      <c r="C756" s="3"/>
      <c r="D756" s="3"/>
      <c r="E756" s="3"/>
      <c r="F756" s="3"/>
      <c r="G756" s="3"/>
      <c r="H756" s="4"/>
      <c r="I756" s="3"/>
      <c r="J756" s="5"/>
      <c r="K756" s="3"/>
      <c r="L756" s="3"/>
      <c r="M756" s="3"/>
      <c r="N756" s="3"/>
      <c r="O756" s="5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5.75" customHeight="1" x14ac:dyDescent="0.2">
      <c r="A757" s="1"/>
      <c r="B757" s="2"/>
      <c r="C757" s="3"/>
      <c r="D757" s="3"/>
      <c r="E757" s="3"/>
      <c r="F757" s="3"/>
      <c r="G757" s="3"/>
      <c r="H757" s="4"/>
      <c r="I757" s="3"/>
      <c r="J757" s="5"/>
      <c r="K757" s="3"/>
      <c r="L757" s="3"/>
      <c r="M757" s="3"/>
      <c r="N757" s="3"/>
      <c r="O757" s="5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5.75" customHeight="1" x14ac:dyDescent="0.2">
      <c r="A758" s="1"/>
      <c r="B758" s="2"/>
      <c r="C758" s="3"/>
      <c r="D758" s="3"/>
      <c r="E758" s="3"/>
      <c r="F758" s="3"/>
      <c r="G758" s="3"/>
      <c r="H758" s="4"/>
      <c r="I758" s="3"/>
      <c r="J758" s="5"/>
      <c r="K758" s="3"/>
      <c r="L758" s="3"/>
      <c r="M758" s="3"/>
      <c r="N758" s="3"/>
      <c r="O758" s="5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5.75" customHeight="1" x14ac:dyDescent="0.2">
      <c r="A759" s="1"/>
      <c r="B759" s="2"/>
      <c r="C759" s="3"/>
      <c r="D759" s="3"/>
      <c r="E759" s="3"/>
      <c r="F759" s="3"/>
      <c r="G759" s="3"/>
      <c r="H759" s="4"/>
      <c r="I759" s="3"/>
      <c r="J759" s="5"/>
      <c r="K759" s="3"/>
      <c r="L759" s="3"/>
      <c r="M759" s="3"/>
      <c r="N759" s="3"/>
      <c r="O759" s="5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5.75" customHeight="1" x14ac:dyDescent="0.2">
      <c r="A760" s="1"/>
      <c r="B760" s="2"/>
      <c r="C760" s="3"/>
      <c r="D760" s="3"/>
      <c r="E760" s="3"/>
      <c r="F760" s="3"/>
      <c r="G760" s="3"/>
      <c r="H760" s="4"/>
      <c r="I760" s="3"/>
      <c r="J760" s="5"/>
      <c r="K760" s="3"/>
      <c r="L760" s="3"/>
      <c r="M760" s="3"/>
      <c r="N760" s="3"/>
      <c r="O760" s="5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5.75" customHeight="1" x14ac:dyDescent="0.2">
      <c r="A761" s="1"/>
      <c r="B761" s="2"/>
      <c r="C761" s="3"/>
      <c r="D761" s="3"/>
      <c r="E761" s="3"/>
      <c r="F761" s="3"/>
      <c r="G761" s="3"/>
      <c r="H761" s="4"/>
      <c r="I761" s="3"/>
      <c r="J761" s="5"/>
      <c r="K761" s="3"/>
      <c r="L761" s="3"/>
      <c r="M761" s="3"/>
      <c r="N761" s="3"/>
      <c r="O761" s="5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5.75" customHeight="1" x14ac:dyDescent="0.2">
      <c r="A762" s="1"/>
      <c r="B762" s="2"/>
      <c r="C762" s="3"/>
      <c r="D762" s="3"/>
      <c r="E762" s="3"/>
      <c r="F762" s="3"/>
      <c r="G762" s="3"/>
      <c r="H762" s="4"/>
      <c r="I762" s="3"/>
      <c r="J762" s="5"/>
      <c r="K762" s="3"/>
      <c r="L762" s="3"/>
      <c r="M762" s="3"/>
      <c r="N762" s="3"/>
      <c r="O762" s="5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5.75" customHeight="1" x14ac:dyDescent="0.2">
      <c r="A763" s="1"/>
      <c r="B763" s="2"/>
      <c r="C763" s="3"/>
      <c r="D763" s="3"/>
      <c r="E763" s="3"/>
      <c r="F763" s="3"/>
      <c r="G763" s="3"/>
      <c r="H763" s="4"/>
      <c r="I763" s="3"/>
      <c r="J763" s="5"/>
      <c r="K763" s="3"/>
      <c r="L763" s="3"/>
      <c r="M763" s="3"/>
      <c r="N763" s="3"/>
      <c r="O763" s="5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5.75" customHeight="1" x14ac:dyDescent="0.2">
      <c r="A764" s="1"/>
      <c r="B764" s="2"/>
      <c r="C764" s="3"/>
      <c r="D764" s="3"/>
      <c r="E764" s="3"/>
      <c r="F764" s="3"/>
      <c r="G764" s="3"/>
      <c r="H764" s="4"/>
      <c r="I764" s="3"/>
      <c r="J764" s="5"/>
      <c r="K764" s="3"/>
      <c r="L764" s="3"/>
      <c r="M764" s="3"/>
      <c r="N764" s="3"/>
      <c r="O764" s="5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5.75" customHeight="1" x14ac:dyDescent="0.2">
      <c r="A765" s="1"/>
      <c r="B765" s="2"/>
      <c r="C765" s="3"/>
      <c r="D765" s="3"/>
      <c r="E765" s="3"/>
      <c r="F765" s="3"/>
      <c r="G765" s="3"/>
      <c r="H765" s="4"/>
      <c r="I765" s="3"/>
      <c r="J765" s="5"/>
      <c r="K765" s="3"/>
      <c r="L765" s="3"/>
      <c r="M765" s="3"/>
      <c r="N765" s="3"/>
      <c r="O765" s="5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5.75" customHeight="1" x14ac:dyDescent="0.2">
      <c r="A766" s="1"/>
      <c r="B766" s="2"/>
      <c r="C766" s="3"/>
      <c r="D766" s="3"/>
      <c r="E766" s="3"/>
      <c r="F766" s="3"/>
      <c r="G766" s="3"/>
      <c r="H766" s="4"/>
      <c r="I766" s="3"/>
      <c r="J766" s="5"/>
      <c r="K766" s="3"/>
      <c r="L766" s="3"/>
      <c r="M766" s="3"/>
      <c r="N766" s="3"/>
      <c r="O766" s="5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5.75" customHeight="1" x14ac:dyDescent="0.2">
      <c r="A767" s="1"/>
      <c r="B767" s="2"/>
      <c r="C767" s="3"/>
      <c r="D767" s="3"/>
      <c r="E767" s="3"/>
      <c r="F767" s="3"/>
      <c r="G767" s="3"/>
      <c r="H767" s="4"/>
      <c r="I767" s="3"/>
      <c r="J767" s="5"/>
      <c r="K767" s="3"/>
      <c r="L767" s="3"/>
      <c r="M767" s="3"/>
      <c r="N767" s="3"/>
      <c r="O767" s="5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5.75" customHeight="1" x14ac:dyDescent="0.2">
      <c r="A768" s="1"/>
      <c r="B768" s="2"/>
      <c r="C768" s="3"/>
      <c r="D768" s="3"/>
      <c r="E768" s="3"/>
      <c r="F768" s="3"/>
      <c r="G768" s="3"/>
      <c r="H768" s="4"/>
      <c r="I768" s="3"/>
      <c r="J768" s="5"/>
      <c r="K768" s="3"/>
      <c r="L768" s="3"/>
      <c r="M768" s="3"/>
      <c r="N768" s="3"/>
      <c r="O768" s="5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5.75" customHeight="1" x14ac:dyDescent="0.2">
      <c r="A769" s="1"/>
      <c r="B769" s="2"/>
      <c r="C769" s="3"/>
      <c r="D769" s="3"/>
      <c r="E769" s="3"/>
      <c r="F769" s="3"/>
      <c r="G769" s="3"/>
      <c r="H769" s="4"/>
      <c r="I769" s="3"/>
      <c r="J769" s="5"/>
      <c r="K769" s="3"/>
      <c r="L769" s="3"/>
      <c r="M769" s="3"/>
      <c r="N769" s="3"/>
      <c r="O769" s="5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5.75" customHeight="1" x14ac:dyDescent="0.2">
      <c r="A770" s="1"/>
      <c r="B770" s="2"/>
      <c r="C770" s="3"/>
      <c r="D770" s="3"/>
      <c r="E770" s="3"/>
      <c r="F770" s="3"/>
      <c r="G770" s="3"/>
      <c r="H770" s="4"/>
      <c r="I770" s="3"/>
      <c r="J770" s="5"/>
      <c r="K770" s="3"/>
      <c r="L770" s="3"/>
      <c r="M770" s="3"/>
      <c r="N770" s="3"/>
      <c r="O770" s="5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5.75" customHeight="1" x14ac:dyDescent="0.2">
      <c r="A771" s="1"/>
      <c r="B771" s="2"/>
      <c r="C771" s="3"/>
      <c r="D771" s="3"/>
      <c r="E771" s="3"/>
      <c r="F771" s="3"/>
      <c r="G771" s="3"/>
      <c r="H771" s="4"/>
      <c r="I771" s="3"/>
      <c r="J771" s="5"/>
      <c r="K771" s="3"/>
      <c r="L771" s="3"/>
      <c r="M771" s="3"/>
      <c r="N771" s="3"/>
      <c r="O771" s="5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5.75" customHeight="1" x14ac:dyDescent="0.2">
      <c r="A772" s="1"/>
      <c r="B772" s="2"/>
      <c r="C772" s="3"/>
      <c r="D772" s="3"/>
      <c r="E772" s="3"/>
      <c r="F772" s="3"/>
      <c r="G772" s="3"/>
      <c r="H772" s="4"/>
      <c r="I772" s="3"/>
      <c r="J772" s="5"/>
      <c r="K772" s="3"/>
      <c r="L772" s="3"/>
      <c r="M772" s="3"/>
      <c r="N772" s="3"/>
      <c r="O772" s="5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5.75" customHeight="1" x14ac:dyDescent="0.2">
      <c r="A773" s="1"/>
      <c r="B773" s="2"/>
      <c r="C773" s="3"/>
      <c r="D773" s="3"/>
      <c r="E773" s="3"/>
      <c r="F773" s="3"/>
      <c r="G773" s="3"/>
      <c r="H773" s="4"/>
      <c r="I773" s="3"/>
      <c r="J773" s="5"/>
      <c r="K773" s="3"/>
      <c r="L773" s="3"/>
      <c r="M773" s="3"/>
      <c r="N773" s="3"/>
      <c r="O773" s="5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5.75" customHeight="1" x14ac:dyDescent="0.2">
      <c r="A774" s="1"/>
      <c r="B774" s="2"/>
      <c r="C774" s="3"/>
      <c r="D774" s="3"/>
      <c r="E774" s="3"/>
      <c r="F774" s="3"/>
      <c r="G774" s="3"/>
      <c r="H774" s="4"/>
      <c r="I774" s="3"/>
      <c r="J774" s="5"/>
      <c r="K774" s="3"/>
      <c r="L774" s="3"/>
      <c r="M774" s="3"/>
      <c r="N774" s="3"/>
      <c r="O774" s="5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5.75" customHeight="1" x14ac:dyDescent="0.2">
      <c r="A775" s="1"/>
      <c r="B775" s="2"/>
      <c r="C775" s="3"/>
      <c r="D775" s="3"/>
      <c r="E775" s="3"/>
      <c r="F775" s="3"/>
      <c r="G775" s="3"/>
      <c r="H775" s="4"/>
      <c r="I775" s="3"/>
      <c r="J775" s="5"/>
      <c r="K775" s="3"/>
      <c r="L775" s="3"/>
      <c r="M775" s="3"/>
      <c r="N775" s="3"/>
      <c r="O775" s="5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5.75" customHeight="1" x14ac:dyDescent="0.2">
      <c r="A776" s="1"/>
      <c r="B776" s="2"/>
      <c r="C776" s="3"/>
      <c r="D776" s="3"/>
      <c r="E776" s="3"/>
      <c r="F776" s="3"/>
      <c r="G776" s="3"/>
      <c r="H776" s="4"/>
      <c r="I776" s="3"/>
      <c r="J776" s="5"/>
      <c r="K776" s="3"/>
      <c r="L776" s="3"/>
      <c r="M776" s="3"/>
      <c r="N776" s="3"/>
      <c r="O776" s="5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5.75" customHeight="1" x14ac:dyDescent="0.2">
      <c r="A777" s="1"/>
      <c r="B777" s="2"/>
      <c r="C777" s="3"/>
      <c r="D777" s="3"/>
      <c r="E777" s="3"/>
      <c r="F777" s="3"/>
      <c r="G777" s="3"/>
      <c r="H777" s="4"/>
      <c r="I777" s="3"/>
      <c r="J777" s="5"/>
      <c r="K777" s="3"/>
      <c r="L777" s="3"/>
      <c r="M777" s="3"/>
      <c r="N777" s="3"/>
      <c r="O777" s="5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5.75" customHeight="1" x14ac:dyDescent="0.2">
      <c r="A778" s="1"/>
      <c r="B778" s="2"/>
      <c r="C778" s="3"/>
      <c r="D778" s="3"/>
      <c r="E778" s="3"/>
      <c r="F778" s="3"/>
      <c r="G778" s="3"/>
      <c r="H778" s="4"/>
      <c r="I778" s="3"/>
      <c r="J778" s="5"/>
      <c r="K778" s="3"/>
      <c r="L778" s="3"/>
      <c r="M778" s="3"/>
      <c r="N778" s="3"/>
      <c r="O778" s="5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5.75" customHeight="1" x14ac:dyDescent="0.2">
      <c r="A779" s="1"/>
      <c r="B779" s="2"/>
      <c r="C779" s="3"/>
      <c r="D779" s="3"/>
      <c r="E779" s="3"/>
      <c r="F779" s="3"/>
      <c r="G779" s="3"/>
      <c r="H779" s="4"/>
      <c r="I779" s="3"/>
      <c r="J779" s="5"/>
      <c r="K779" s="3"/>
      <c r="L779" s="3"/>
      <c r="M779" s="3"/>
      <c r="N779" s="3"/>
      <c r="O779" s="5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5.75" customHeight="1" x14ac:dyDescent="0.2">
      <c r="A780" s="1"/>
      <c r="B780" s="2"/>
      <c r="C780" s="3"/>
      <c r="D780" s="3"/>
      <c r="E780" s="3"/>
      <c r="F780" s="3"/>
      <c r="G780" s="3"/>
      <c r="H780" s="4"/>
      <c r="I780" s="3"/>
      <c r="J780" s="5"/>
      <c r="K780" s="3"/>
      <c r="L780" s="3"/>
      <c r="M780" s="3"/>
      <c r="N780" s="3"/>
      <c r="O780" s="5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5.75" customHeight="1" x14ac:dyDescent="0.2">
      <c r="A781" s="1"/>
      <c r="B781" s="2"/>
      <c r="C781" s="3"/>
      <c r="D781" s="3"/>
      <c r="E781" s="3"/>
      <c r="F781" s="3"/>
      <c r="G781" s="3"/>
      <c r="H781" s="4"/>
      <c r="I781" s="3"/>
      <c r="J781" s="5"/>
      <c r="K781" s="3"/>
      <c r="L781" s="3"/>
      <c r="M781" s="3"/>
      <c r="N781" s="3"/>
      <c r="O781" s="5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5.75" customHeight="1" x14ac:dyDescent="0.2">
      <c r="A782" s="1"/>
      <c r="B782" s="2"/>
      <c r="C782" s="3"/>
      <c r="D782" s="3"/>
      <c r="E782" s="3"/>
      <c r="F782" s="3"/>
      <c r="G782" s="3"/>
      <c r="H782" s="4"/>
      <c r="I782" s="3"/>
      <c r="J782" s="5"/>
      <c r="K782" s="3"/>
      <c r="L782" s="3"/>
      <c r="M782" s="3"/>
      <c r="N782" s="3"/>
      <c r="O782" s="5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5.75" customHeight="1" x14ac:dyDescent="0.2">
      <c r="A783" s="1"/>
      <c r="B783" s="2"/>
      <c r="C783" s="3"/>
      <c r="D783" s="3"/>
      <c r="E783" s="3"/>
      <c r="F783" s="3"/>
      <c r="G783" s="3"/>
      <c r="H783" s="4"/>
      <c r="I783" s="3"/>
      <c r="J783" s="5"/>
      <c r="K783" s="3"/>
      <c r="L783" s="3"/>
      <c r="M783" s="3"/>
      <c r="N783" s="3"/>
      <c r="O783" s="5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5.75" customHeight="1" x14ac:dyDescent="0.2">
      <c r="A784" s="1"/>
      <c r="B784" s="2"/>
      <c r="C784" s="3"/>
      <c r="D784" s="3"/>
      <c r="E784" s="3"/>
      <c r="F784" s="3"/>
      <c r="G784" s="3"/>
      <c r="H784" s="4"/>
      <c r="I784" s="3"/>
      <c r="J784" s="5"/>
      <c r="K784" s="3"/>
      <c r="L784" s="3"/>
      <c r="M784" s="3"/>
      <c r="N784" s="3"/>
      <c r="O784" s="5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5.75" customHeight="1" x14ac:dyDescent="0.2">
      <c r="A785" s="1"/>
      <c r="B785" s="2"/>
      <c r="C785" s="3"/>
      <c r="D785" s="3"/>
      <c r="E785" s="3"/>
      <c r="F785" s="3"/>
      <c r="G785" s="3"/>
      <c r="H785" s="4"/>
      <c r="I785" s="3"/>
      <c r="J785" s="5"/>
      <c r="K785" s="3"/>
      <c r="L785" s="3"/>
      <c r="M785" s="3"/>
      <c r="N785" s="3"/>
      <c r="O785" s="5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5.75" customHeight="1" x14ac:dyDescent="0.2">
      <c r="A786" s="1"/>
      <c r="B786" s="2"/>
      <c r="C786" s="3"/>
      <c r="D786" s="3"/>
      <c r="E786" s="3"/>
      <c r="F786" s="3"/>
      <c r="G786" s="3"/>
      <c r="H786" s="4"/>
      <c r="I786" s="3"/>
      <c r="J786" s="5"/>
      <c r="K786" s="3"/>
      <c r="L786" s="3"/>
      <c r="M786" s="3"/>
      <c r="N786" s="3"/>
      <c r="O786" s="5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5.75" customHeight="1" x14ac:dyDescent="0.2">
      <c r="A787" s="1"/>
      <c r="B787" s="2"/>
      <c r="C787" s="3"/>
      <c r="D787" s="3"/>
      <c r="E787" s="3"/>
      <c r="F787" s="3"/>
      <c r="G787" s="3"/>
      <c r="H787" s="4"/>
      <c r="I787" s="3"/>
      <c r="J787" s="5"/>
      <c r="K787" s="3"/>
      <c r="L787" s="3"/>
      <c r="M787" s="3"/>
      <c r="N787" s="3"/>
      <c r="O787" s="5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5.75" customHeight="1" x14ac:dyDescent="0.2">
      <c r="A788" s="1"/>
      <c r="B788" s="2"/>
      <c r="C788" s="3"/>
      <c r="D788" s="3"/>
      <c r="E788" s="3"/>
      <c r="F788" s="3"/>
      <c r="G788" s="3"/>
      <c r="H788" s="4"/>
      <c r="I788" s="3"/>
      <c r="J788" s="5"/>
      <c r="K788" s="3"/>
      <c r="L788" s="3"/>
      <c r="M788" s="3"/>
      <c r="N788" s="3"/>
      <c r="O788" s="5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5.75" customHeight="1" x14ac:dyDescent="0.2">
      <c r="A789" s="1"/>
      <c r="B789" s="2"/>
      <c r="C789" s="3"/>
      <c r="D789" s="3"/>
      <c r="E789" s="3"/>
      <c r="F789" s="3"/>
      <c r="G789" s="3"/>
      <c r="H789" s="4"/>
      <c r="I789" s="3"/>
      <c r="J789" s="5"/>
      <c r="K789" s="3"/>
      <c r="L789" s="3"/>
      <c r="M789" s="3"/>
      <c r="N789" s="3"/>
      <c r="O789" s="5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5.75" customHeight="1" x14ac:dyDescent="0.2">
      <c r="A790" s="1"/>
      <c r="B790" s="2"/>
      <c r="C790" s="3"/>
      <c r="D790" s="3"/>
      <c r="E790" s="3"/>
      <c r="F790" s="3"/>
      <c r="G790" s="3"/>
      <c r="H790" s="4"/>
      <c r="I790" s="3"/>
      <c r="J790" s="5"/>
      <c r="K790" s="3"/>
      <c r="L790" s="3"/>
      <c r="M790" s="3"/>
      <c r="N790" s="3"/>
      <c r="O790" s="5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5.75" customHeight="1" x14ac:dyDescent="0.2">
      <c r="A791" s="1"/>
      <c r="B791" s="2"/>
      <c r="C791" s="3"/>
      <c r="D791" s="3"/>
      <c r="E791" s="3"/>
      <c r="F791" s="3"/>
      <c r="G791" s="3"/>
      <c r="H791" s="4"/>
      <c r="I791" s="3"/>
      <c r="J791" s="5"/>
      <c r="K791" s="3"/>
      <c r="L791" s="3"/>
      <c r="M791" s="3"/>
      <c r="N791" s="3"/>
      <c r="O791" s="5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5.75" customHeight="1" x14ac:dyDescent="0.2">
      <c r="A792" s="1"/>
      <c r="B792" s="2"/>
      <c r="C792" s="3"/>
      <c r="D792" s="3"/>
      <c r="E792" s="3"/>
      <c r="F792" s="3"/>
      <c r="G792" s="3"/>
      <c r="H792" s="4"/>
      <c r="I792" s="3"/>
      <c r="J792" s="5"/>
      <c r="K792" s="3"/>
      <c r="L792" s="3"/>
      <c r="M792" s="3"/>
      <c r="N792" s="3"/>
      <c r="O792" s="5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5.75" customHeight="1" x14ac:dyDescent="0.2">
      <c r="A793" s="1"/>
      <c r="B793" s="2"/>
      <c r="C793" s="3"/>
      <c r="D793" s="3"/>
      <c r="E793" s="3"/>
      <c r="F793" s="3"/>
      <c r="G793" s="3"/>
      <c r="H793" s="4"/>
      <c r="I793" s="3"/>
      <c r="J793" s="5"/>
      <c r="K793" s="3"/>
      <c r="L793" s="3"/>
      <c r="M793" s="3"/>
      <c r="N793" s="3"/>
      <c r="O793" s="5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5.75" customHeight="1" x14ac:dyDescent="0.2">
      <c r="A794" s="1"/>
      <c r="B794" s="2"/>
      <c r="C794" s="3"/>
      <c r="D794" s="3"/>
      <c r="E794" s="3"/>
      <c r="F794" s="3"/>
      <c r="G794" s="3"/>
      <c r="H794" s="4"/>
      <c r="I794" s="3"/>
      <c r="J794" s="5"/>
      <c r="K794" s="3"/>
      <c r="L794" s="3"/>
      <c r="M794" s="3"/>
      <c r="N794" s="3"/>
      <c r="O794" s="5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5.75" customHeight="1" x14ac:dyDescent="0.2">
      <c r="A795" s="1"/>
      <c r="B795" s="2"/>
      <c r="C795" s="3"/>
      <c r="D795" s="3"/>
      <c r="E795" s="3"/>
      <c r="F795" s="3"/>
      <c r="G795" s="3"/>
      <c r="H795" s="4"/>
      <c r="I795" s="3"/>
      <c r="J795" s="5"/>
      <c r="K795" s="3"/>
      <c r="L795" s="3"/>
      <c r="M795" s="3"/>
      <c r="N795" s="3"/>
      <c r="O795" s="5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5.75" customHeight="1" x14ac:dyDescent="0.2">
      <c r="A796" s="1"/>
      <c r="B796" s="2"/>
      <c r="C796" s="3"/>
      <c r="D796" s="3"/>
      <c r="E796" s="3"/>
      <c r="F796" s="3"/>
      <c r="G796" s="3"/>
      <c r="H796" s="4"/>
      <c r="I796" s="3"/>
      <c r="J796" s="5"/>
      <c r="K796" s="3"/>
      <c r="L796" s="3"/>
      <c r="M796" s="3"/>
      <c r="N796" s="3"/>
      <c r="O796" s="5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5.75" customHeight="1" x14ac:dyDescent="0.2">
      <c r="A797" s="1"/>
      <c r="B797" s="2"/>
      <c r="C797" s="3"/>
      <c r="D797" s="3"/>
      <c r="E797" s="3"/>
      <c r="F797" s="3"/>
      <c r="G797" s="3"/>
      <c r="H797" s="4"/>
      <c r="I797" s="3"/>
      <c r="J797" s="5"/>
      <c r="K797" s="3"/>
      <c r="L797" s="3"/>
      <c r="M797" s="3"/>
      <c r="N797" s="3"/>
      <c r="O797" s="5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5.75" customHeight="1" x14ac:dyDescent="0.2">
      <c r="A798" s="1"/>
      <c r="B798" s="2"/>
      <c r="C798" s="3"/>
      <c r="D798" s="3"/>
      <c r="E798" s="3"/>
      <c r="F798" s="3"/>
      <c r="G798" s="3"/>
      <c r="H798" s="4"/>
      <c r="I798" s="3"/>
      <c r="J798" s="5"/>
      <c r="K798" s="3"/>
      <c r="L798" s="3"/>
      <c r="M798" s="3"/>
      <c r="N798" s="3"/>
      <c r="O798" s="5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5.75" customHeight="1" x14ac:dyDescent="0.2">
      <c r="A799" s="1"/>
      <c r="B799" s="2"/>
      <c r="C799" s="3"/>
      <c r="D799" s="3"/>
      <c r="E799" s="3"/>
      <c r="F799" s="3"/>
      <c r="G799" s="3"/>
      <c r="H799" s="4"/>
      <c r="I799" s="3"/>
      <c r="J799" s="5"/>
      <c r="K799" s="3"/>
      <c r="L799" s="3"/>
      <c r="M799" s="3"/>
      <c r="N799" s="3"/>
      <c r="O799" s="5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5.75" customHeight="1" x14ac:dyDescent="0.2">
      <c r="A800" s="1"/>
      <c r="B800" s="2"/>
      <c r="C800" s="3"/>
      <c r="D800" s="3"/>
      <c r="E800" s="3"/>
      <c r="F800" s="3"/>
      <c r="G800" s="3"/>
      <c r="H800" s="4"/>
      <c r="I800" s="3"/>
      <c r="J800" s="5"/>
      <c r="K800" s="3"/>
      <c r="L800" s="3"/>
      <c r="M800" s="3"/>
      <c r="N800" s="3"/>
      <c r="O800" s="5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5.75" customHeight="1" x14ac:dyDescent="0.2">
      <c r="A801" s="1"/>
      <c r="B801" s="2"/>
      <c r="C801" s="3"/>
      <c r="D801" s="3"/>
      <c r="E801" s="3"/>
      <c r="F801" s="3"/>
      <c r="G801" s="3"/>
      <c r="H801" s="4"/>
      <c r="I801" s="3"/>
      <c r="J801" s="5"/>
      <c r="K801" s="3"/>
      <c r="L801" s="3"/>
      <c r="M801" s="3"/>
      <c r="N801" s="3"/>
      <c r="O801" s="5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5.75" customHeight="1" x14ac:dyDescent="0.2">
      <c r="A802" s="1"/>
      <c r="B802" s="2"/>
      <c r="C802" s="3"/>
      <c r="D802" s="3"/>
      <c r="E802" s="3"/>
      <c r="F802" s="3"/>
      <c r="G802" s="3"/>
      <c r="H802" s="4"/>
      <c r="I802" s="3"/>
      <c r="J802" s="5"/>
      <c r="K802" s="3"/>
      <c r="L802" s="3"/>
      <c r="M802" s="3"/>
      <c r="N802" s="3"/>
      <c r="O802" s="5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5.75" customHeight="1" x14ac:dyDescent="0.2">
      <c r="A803" s="1"/>
      <c r="B803" s="2"/>
      <c r="C803" s="3"/>
      <c r="D803" s="3"/>
      <c r="E803" s="3"/>
      <c r="F803" s="3"/>
      <c r="G803" s="3"/>
      <c r="H803" s="4"/>
      <c r="I803" s="3"/>
      <c r="J803" s="5"/>
      <c r="K803" s="3"/>
      <c r="L803" s="3"/>
      <c r="M803" s="3"/>
      <c r="N803" s="3"/>
      <c r="O803" s="5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5.75" customHeight="1" x14ac:dyDescent="0.2">
      <c r="A804" s="1"/>
      <c r="B804" s="2"/>
      <c r="C804" s="3"/>
      <c r="D804" s="3"/>
      <c r="E804" s="3"/>
      <c r="F804" s="3"/>
      <c r="G804" s="3"/>
      <c r="H804" s="4"/>
      <c r="I804" s="3"/>
      <c r="J804" s="5"/>
      <c r="K804" s="3"/>
      <c r="L804" s="3"/>
      <c r="M804" s="3"/>
      <c r="N804" s="3"/>
      <c r="O804" s="5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5.75" customHeight="1" x14ac:dyDescent="0.2">
      <c r="A805" s="1"/>
      <c r="B805" s="2"/>
      <c r="C805" s="3"/>
      <c r="D805" s="3"/>
      <c r="E805" s="3"/>
      <c r="F805" s="3"/>
      <c r="G805" s="3"/>
      <c r="H805" s="4"/>
      <c r="I805" s="3"/>
      <c r="J805" s="5"/>
      <c r="K805" s="3"/>
      <c r="L805" s="3"/>
      <c r="M805" s="3"/>
      <c r="N805" s="3"/>
      <c r="O805" s="5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5.75" customHeight="1" x14ac:dyDescent="0.2">
      <c r="A806" s="1"/>
      <c r="B806" s="2"/>
      <c r="C806" s="3"/>
      <c r="D806" s="3"/>
      <c r="E806" s="3"/>
      <c r="F806" s="3"/>
      <c r="G806" s="3"/>
      <c r="H806" s="4"/>
      <c r="I806" s="3"/>
      <c r="J806" s="5"/>
      <c r="K806" s="3"/>
      <c r="L806" s="3"/>
      <c r="M806" s="3"/>
      <c r="N806" s="3"/>
      <c r="O806" s="5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5.75" customHeight="1" x14ac:dyDescent="0.2">
      <c r="A807" s="1"/>
      <c r="B807" s="2"/>
      <c r="C807" s="3"/>
      <c r="D807" s="3"/>
      <c r="E807" s="3"/>
      <c r="F807" s="3"/>
      <c r="G807" s="3"/>
      <c r="H807" s="4"/>
      <c r="I807" s="3"/>
      <c r="J807" s="5"/>
      <c r="K807" s="3"/>
      <c r="L807" s="3"/>
      <c r="M807" s="3"/>
      <c r="N807" s="3"/>
      <c r="O807" s="5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5.75" customHeight="1" x14ac:dyDescent="0.2">
      <c r="A808" s="1"/>
      <c r="B808" s="2"/>
      <c r="C808" s="3"/>
      <c r="D808" s="3"/>
      <c r="E808" s="3"/>
      <c r="F808" s="3"/>
      <c r="G808" s="3"/>
      <c r="H808" s="4"/>
      <c r="I808" s="3"/>
      <c r="J808" s="5"/>
      <c r="K808" s="3"/>
      <c r="L808" s="3"/>
      <c r="M808" s="3"/>
      <c r="N808" s="3"/>
      <c r="O808" s="5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5.75" customHeight="1" x14ac:dyDescent="0.2">
      <c r="A809" s="1"/>
      <c r="B809" s="2"/>
      <c r="C809" s="3"/>
      <c r="D809" s="3"/>
      <c r="E809" s="3"/>
      <c r="F809" s="3"/>
      <c r="G809" s="3"/>
      <c r="H809" s="4"/>
      <c r="I809" s="3"/>
      <c r="J809" s="5"/>
      <c r="K809" s="3"/>
      <c r="L809" s="3"/>
      <c r="M809" s="3"/>
      <c r="N809" s="3"/>
      <c r="O809" s="5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5.75" customHeight="1" x14ac:dyDescent="0.2">
      <c r="A810" s="1"/>
      <c r="B810" s="2"/>
      <c r="C810" s="3"/>
      <c r="D810" s="3"/>
      <c r="E810" s="3"/>
      <c r="F810" s="3"/>
      <c r="G810" s="3"/>
      <c r="H810" s="4"/>
      <c r="I810" s="3"/>
      <c r="J810" s="5"/>
      <c r="K810" s="3"/>
      <c r="L810" s="3"/>
      <c r="M810" s="3"/>
      <c r="N810" s="3"/>
      <c r="O810" s="5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5.75" customHeight="1" x14ac:dyDescent="0.2">
      <c r="A811" s="1"/>
      <c r="B811" s="2"/>
      <c r="C811" s="3"/>
      <c r="D811" s="3"/>
      <c r="E811" s="3"/>
      <c r="F811" s="3"/>
      <c r="G811" s="3"/>
      <c r="H811" s="4"/>
      <c r="I811" s="3"/>
      <c r="J811" s="5"/>
      <c r="K811" s="3"/>
      <c r="L811" s="3"/>
      <c r="M811" s="3"/>
      <c r="N811" s="3"/>
      <c r="O811" s="5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5.75" customHeight="1" x14ac:dyDescent="0.2">
      <c r="A812" s="1"/>
      <c r="B812" s="2"/>
      <c r="C812" s="3"/>
      <c r="D812" s="3"/>
      <c r="E812" s="3"/>
      <c r="F812" s="3"/>
      <c r="G812" s="3"/>
      <c r="H812" s="4"/>
      <c r="I812" s="3"/>
      <c r="J812" s="5"/>
      <c r="K812" s="3"/>
      <c r="L812" s="3"/>
      <c r="M812" s="3"/>
      <c r="N812" s="3"/>
      <c r="O812" s="5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5.75" customHeight="1" x14ac:dyDescent="0.2">
      <c r="A813" s="1"/>
      <c r="B813" s="2"/>
      <c r="C813" s="3"/>
      <c r="D813" s="3"/>
      <c r="E813" s="3"/>
      <c r="F813" s="3"/>
      <c r="G813" s="3"/>
      <c r="H813" s="4"/>
      <c r="I813" s="3"/>
      <c r="J813" s="5"/>
      <c r="K813" s="3"/>
      <c r="L813" s="3"/>
      <c r="M813" s="3"/>
      <c r="N813" s="3"/>
      <c r="O813" s="5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5.75" customHeight="1" x14ac:dyDescent="0.2">
      <c r="A814" s="1"/>
      <c r="B814" s="2"/>
      <c r="C814" s="3"/>
      <c r="D814" s="3"/>
      <c r="E814" s="3"/>
      <c r="F814" s="3"/>
      <c r="G814" s="3"/>
      <c r="H814" s="4"/>
      <c r="I814" s="3"/>
      <c r="J814" s="5"/>
      <c r="K814" s="3"/>
      <c r="L814" s="3"/>
      <c r="M814" s="3"/>
      <c r="N814" s="3"/>
      <c r="O814" s="5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5.75" customHeight="1" x14ac:dyDescent="0.2">
      <c r="A815" s="1"/>
      <c r="B815" s="2"/>
      <c r="C815" s="3"/>
      <c r="D815" s="3"/>
      <c r="E815" s="3"/>
      <c r="F815" s="3"/>
      <c r="G815" s="3"/>
      <c r="H815" s="4"/>
      <c r="I815" s="3"/>
      <c r="J815" s="5"/>
      <c r="K815" s="3"/>
      <c r="L815" s="3"/>
      <c r="M815" s="3"/>
      <c r="N815" s="3"/>
      <c r="O815" s="5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5.75" customHeight="1" x14ac:dyDescent="0.2">
      <c r="A816" s="1"/>
      <c r="B816" s="2"/>
      <c r="C816" s="3"/>
      <c r="D816" s="3"/>
      <c r="E816" s="3"/>
      <c r="F816" s="3"/>
      <c r="G816" s="3"/>
      <c r="H816" s="4"/>
      <c r="I816" s="3"/>
      <c r="J816" s="5"/>
      <c r="K816" s="3"/>
      <c r="L816" s="3"/>
      <c r="M816" s="3"/>
      <c r="N816" s="3"/>
      <c r="O816" s="5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5.75" customHeight="1" x14ac:dyDescent="0.2">
      <c r="A817" s="1"/>
      <c r="B817" s="2"/>
      <c r="C817" s="3"/>
      <c r="D817" s="3"/>
      <c r="E817" s="3"/>
      <c r="F817" s="3"/>
      <c r="G817" s="3"/>
      <c r="H817" s="4"/>
      <c r="I817" s="3"/>
      <c r="J817" s="5"/>
      <c r="K817" s="3"/>
      <c r="L817" s="3"/>
      <c r="M817" s="3"/>
      <c r="N817" s="3"/>
      <c r="O817" s="5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5.75" customHeight="1" x14ac:dyDescent="0.2">
      <c r="A818" s="1"/>
      <c r="B818" s="2"/>
      <c r="C818" s="3"/>
      <c r="D818" s="3"/>
      <c r="E818" s="3"/>
      <c r="F818" s="3"/>
      <c r="G818" s="3"/>
      <c r="H818" s="4"/>
      <c r="I818" s="3"/>
      <c r="J818" s="5"/>
      <c r="K818" s="3"/>
      <c r="L818" s="3"/>
      <c r="M818" s="3"/>
      <c r="N818" s="3"/>
      <c r="O818" s="5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5.75" customHeight="1" x14ac:dyDescent="0.2">
      <c r="A819" s="1"/>
      <c r="B819" s="2"/>
      <c r="C819" s="3"/>
      <c r="D819" s="3"/>
      <c r="E819" s="3"/>
      <c r="F819" s="3"/>
      <c r="G819" s="3"/>
      <c r="H819" s="4"/>
      <c r="I819" s="3"/>
      <c r="J819" s="5"/>
      <c r="K819" s="3"/>
      <c r="L819" s="3"/>
      <c r="M819" s="3"/>
      <c r="N819" s="3"/>
      <c r="O819" s="5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5.75" customHeight="1" x14ac:dyDescent="0.2">
      <c r="A820" s="1"/>
      <c r="B820" s="2"/>
      <c r="C820" s="3"/>
      <c r="D820" s="3"/>
      <c r="E820" s="3"/>
      <c r="F820" s="3"/>
      <c r="G820" s="3"/>
      <c r="H820" s="4"/>
      <c r="I820" s="3"/>
      <c r="J820" s="5"/>
      <c r="K820" s="3"/>
      <c r="L820" s="3"/>
      <c r="M820" s="3"/>
      <c r="N820" s="3"/>
      <c r="O820" s="5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5.75" customHeight="1" x14ac:dyDescent="0.2">
      <c r="A821" s="1"/>
      <c r="B821" s="2"/>
      <c r="C821" s="3"/>
      <c r="D821" s="3"/>
      <c r="E821" s="3"/>
      <c r="F821" s="3"/>
      <c r="G821" s="3"/>
      <c r="H821" s="4"/>
      <c r="I821" s="3"/>
      <c r="J821" s="5"/>
      <c r="K821" s="3"/>
      <c r="L821" s="3"/>
      <c r="M821" s="3"/>
      <c r="N821" s="3"/>
      <c r="O821" s="5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5.75" customHeight="1" x14ac:dyDescent="0.2">
      <c r="A822" s="1"/>
      <c r="B822" s="2"/>
      <c r="C822" s="3"/>
      <c r="D822" s="3"/>
      <c r="E822" s="3"/>
      <c r="F822" s="3"/>
      <c r="G822" s="3"/>
      <c r="H822" s="4"/>
      <c r="I822" s="3"/>
      <c r="J822" s="5"/>
      <c r="K822" s="3"/>
      <c r="L822" s="3"/>
      <c r="M822" s="3"/>
      <c r="N822" s="3"/>
      <c r="O822" s="5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5.75" customHeight="1" x14ac:dyDescent="0.2">
      <c r="A823" s="1"/>
      <c r="B823" s="2"/>
      <c r="C823" s="3"/>
      <c r="D823" s="3"/>
      <c r="E823" s="3"/>
      <c r="F823" s="3"/>
      <c r="G823" s="3"/>
      <c r="H823" s="4"/>
      <c r="I823" s="3"/>
      <c r="J823" s="5"/>
      <c r="K823" s="3"/>
      <c r="L823" s="3"/>
      <c r="M823" s="3"/>
      <c r="N823" s="3"/>
      <c r="O823" s="5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5.75" customHeight="1" x14ac:dyDescent="0.2">
      <c r="A824" s="1"/>
      <c r="B824" s="2"/>
      <c r="C824" s="3"/>
      <c r="D824" s="3"/>
      <c r="E824" s="3"/>
      <c r="F824" s="3"/>
      <c r="G824" s="3"/>
      <c r="H824" s="4"/>
      <c r="I824" s="3"/>
      <c r="J824" s="5"/>
      <c r="K824" s="3"/>
      <c r="L824" s="3"/>
      <c r="M824" s="3"/>
      <c r="N824" s="3"/>
      <c r="O824" s="5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5.75" customHeight="1" x14ac:dyDescent="0.2">
      <c r="A825" s="1"/>
      <c r="B825" s="2"/>
      <c r="C825" s="3"/>
      <c r="D825" s="3"/>
      <c r="E825" s="3"/>
      <c r="F825" s="3"/>
      <c r="G825" s="3"/>
      <c r="H825" s="4"/>
      <c r="I825" s="3"/>
      <c r="J825" s="5"/>
      <c r="K825" s="3"/>
      <c r="L825" s="3"/>
      <c r="M825" s="3"/>
      <c r="N825" s="3"/>
      <c r="O825" s="5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5.75" customHeight="1" x14ac:dyDescent="0.2">
      <c r="A826" s="1"/>
      <c r="B826" s="2"/>
      <c r="C826" s="3"/>
      <c r="D826" s="3"/>
      <c r="E826" s="3"/>
      <c r="F826" s="3"/>
      <c r="G826" s="3"/>
      <c r="H826" s="4"/>
      <c r="I826" s="3"/>
      <c r="J826" s="5"/>
      <c r="K826" s="3"/>
      <c r="L826" s="3"/>
      <c r="M826" s="3"/>
      <c r="N826" s="3"/>
      <c r="O826" s="5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5.75" customHeight="1" x14ac:dyDescent="0.2">
      <c r="A827" s="1"/>
      <c r="B827" s="2"/>
      <c r="C827" s="3"/>
      <c r="D827" s="3"/>
      <c r="E827" s="3"/>
      <c r="F827" s="3"/>
      <c r="G827" s="3"/>
      <c r="H827" s="4"/>
      <c r="I827" s="3"/>
      <c r="J827" s="5"/>
      <c r="K827" s="3"/>
      <c r="L827" s="3"/>
      <c r="M827" s="3"/>
      <c r="N827" s="3"/>
      <c r="O827" s="5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5.75" customHeight="1" x14ac:dyDescent="0.2">
      <c r="A828" s="1"/>
      <c r="B828" s="2"/>
      <c r="C828" s="3"/>
      <c r="D828" s="3"/>
      <c r="E828" s="3"/>
      <c r="F828" s="3"/>
      <c r="G828" s="3"/>
      <c r="H828" s="4"/>
      <c r="I828" s="3"/>
      <c r="J828" s="5"/>
      <c r="K828" s="3"/>
      <c r="L828" s="3"/>
      <c r="M828" s="3"/>
      <c r="N828" s="3"/>
      <c r="O828" s="5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5.75" customHeight="1" x14ac:dyDescent="0.2">
      <c r="A829" s="1"/>
      <c r="B829" s="2"/>
      <c r="C829" s="3"/>
      <c r="D829" s="3"/>
      <c r="E829" s="3"/>
      <c r="F829" s="3"/>
      <c r="G829" s="3"/>
      <c r="H829" s="4"/>
      <c r="I829" s="3"/>
      <c r="J829" s="5"/>
      <c r="K829" s="3"/>
      <c r="L829" s="3"/>
      <c r="M829" s="3"/>
      <c r="N829" s="3"/>
      <c r="O829" s="5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5.75" customHeight="1" x14ac:dyDescent="0.2">
      <c r="A830" s="1"/>
      <c r="B830" s="2"/>
      <c r="C830" s="3"/>
      <c r="D830" s="3"/>
      <c r="E830" s="3"/>
      <c r="F830" s="3"/>
      <c r="G830" s="3"/>
      <c r="H830" s="4"/>
      <c r="I830" s="3"/>
      <c r="J830" s="5"/>
      <c r="K830" s="3"/>
      <c r="L830" s="3"/>
      <c r="M830" s="3"/>
      <c r="N830" s="3"/>
      <c r="O830" s="5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5.75" customHeight="1" x14ac:dyDescent="0.2">
      <c r="A831" s="1"/>
      <c r="B831" s="2"/>
      <c r="C831" s="3"/>
      <c r="D831" s="3"/>
      <c r="E831" s="3"/>
      <c r="F831" s="3"/>
      <c r="G831" s="3"/>
      <c r="H831" s="4"/>
      <c r="I831" s="3"/>
      <c r="J831" s="5"/>
      <c r="K831" s="3"/>
      <c r="L831" s="3"/>
      <c r="M831" s="3"/>
      <c r="N831" s="3"/>
      <c r="O831" s="5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5.75" customHeight="1" x14ac:dyDescent="0.2">
      <c r="A832" s="1"/>
      <c r="B832" s="2"/>
      <c r="C832" s="3"/>
      <c r="D832" s="3"/>
      <c r="E832" s="3"/>
      <c r="F832" s="3"/>
      <c r="G832" s="3"/>
      <c r="H832" s="4"/>
      <c r="I832" s="3"/>
      <c r="J832" s="5"/>
      <c r="K832" s="3"/>
      <c r="L832" s="3"/>
      <c r="M832" s="3"/>
      <c r="N832" s="3"/>
      <c r="O832" s="5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5.75" customHeight="1" x14ac:dyDescent="0.2">
      <c r="A833" s="1"/>
      <c r="B833" s="2"/>
      <c r="C833" s="3"/>
      <c r="D833" s="3"/>
      <c r="E833" s="3"/>
      <c r="F833" s="3"/>
      <c r="G833" s="3"/>
      <c r="H833" s="4"/>
      <c r="I833" s="3"/>
      <c r="J833" s="5"/>
      <c r="K833" s="3"/>
      <c r="L833" s="3"/>
      <c r="M833" s="3"/>
      <c r="N833" s="3"/>
      <c r="O833" s="5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5.75" customHeight="1" x14ac:dyDescent="0.2">
      <c r="A834" s="1"/>
      <c r="B834" s="2"/>
      <c r="C834" s="3"/>
      <c r="D834" s="3"/>
      <c r="E834" s="3"/>
      <c r="F834" s="3"/>
      <c r="G834" s="3"/>
      <c r="H834" s="4"/>
      <c r="I834" s="3"/>
      <c r="J834" s="5"/>
      <c r="K834" s="3"/>
      <c r="L834" s="3"/>
      <c r="M834" s="3"/>
      <c r="N834" s="3"/>
      <c r="O834" s="5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5.75" customHeight="1" x14ac:dyDescent="0.2">
      <c r="A835" s="1"/>
      <c r="B835" s="2"/>
      <c r="C835" s="3"/>
      <c r="D835" s="3"/>
      <c r="E835" s="3"/>
      <c r="F835" s="3"/>
      <c r="G835" s="3"/>
      <c r="H835" s="4"/>
      <c r="I835" s="3"/>
      <c r="J835" s="5"/>
      <c r="K835" s="3"/>
      <c r="L835" s="3"/>
      <c r="M835" s="3"/>
      <c r="N835" s="3"/>
      <c r="O835" s="5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5.75" customHeight="1" x14ac:dyDescent="0.2">
      <c r="A836" s="1"/>
      <c r="B836" s="2"/>
      <c r="C836" s="3"/>
      <c r="D836" s="3"/>
      <c r="E836" s="3"/>
      <c r="F836" s="3"/>
      <c r="G836" s="3"/>
      <c r="H836" s="4"/>
      <c r="I836" s="3"/>
      <c r="J836" s="5"/>
      <c r="K836" s="3"/>
      <c r="L836" s="3"/>
      <c r="M836" s="3"/>
      <c r="N836" s="3"/>
      <c r="O836" s="5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5.75" customHeight="1" x14ac:dyDescent="0.2">
      <c r="A837" s="1"/>
      <c r="B837" s="2"/>
      <c r="C837" s="3"/>
      <c r="D837" s="3"/>
      <c r="E837" s="3"/>
      <c r="F837" s="3"/>
      <c r="G837" s="3"/>
      <c r="H837" s="4"/>
      <c r="I837" s="3"/>
      <c r="J837" s="5"/>
      <c r="K837" s="3"/>
      <c r="L837" s="3"/>
      <c r="M837" s="3"/>
      <c r="N837" s="3"/>
      <c r="O837" s="5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5.75" customHeight="1" x14ac:dyDescent="0.2">
      <c r="A838" s="1"/>
      <c r="B838" s="2"/>
      <c r="C838" s="3"/>
      <c r="D838" s="3"/>
      <c r="E838" s="3"/>
      <c r="F838" s="3"/>
      <c r="G838" s="3"/>
      <c r="H838" s="4"/>
      <c r="I838" s="3"/>
      <c r="J838" s="5"/>
      <c r="K838" s="3"/>
      <c r="L838" s="3"/>
      <c r="M838" s="3"/>
      <c r="N838" s="3"/>
      <c r="O838" s="5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5.75" customHeight="1" x14ac:dyDescent="0.2">
      <c r="A839" s="1"/>
      <c r="B839" s="2"/>
      <c r="C839" s="3"/>
      <c r="D839" s="3"/>
      <c r="E839" s="3"/>
      <c r="F839" s="3"/>
      <c r="G839" s="3"/>
      <c r="H839" s="4"/>
      <c r="I839" s="3"/>
      <c r="J839" s="5"/>
      <c r="K839" s="3"/>
      <c r="L839" s="3"/>
      <c r="M839" s="3"/>
      <c r="N839" s="3"/>
      <c r="O839" s="5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5.75" customHeight="1" x14ac:dyDescent="0.2">
      <c r="A840" s="1"/>
      <c r="B840" s="2"/>
      <c r="C840" s="3"/>
      <c r="D840" s="3"/>
      <c r="E840" s="3"/>
      <c r="F840" s="3"/>
      <c r="G840" s="3"/>
      <c r="H840" s="4"/>
      <c r="I840" s="3"/>
      <c r="J840" s="5"/>
      <c r="K840" s="3"/>
      <c r="L840" s="3"/>
      <c r="M840" s="3"/>
      <c r="N840" s="3"/>
      <c r="O840" s="5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5.75" customHeight="1" x14ac:dyDescent="0.2">
      <c r="A841" s="1"/>
      <c r="B841" s="2"/>
      <c r="C841" s="3"/>
      <c r="D841" s="3"/>
      <c r="E841" s="3"/>
      <c r="F841" s="3"/>
      <c r="G841" s="3"/>
      <c r="H841" s="4"/>
      <c r="I841" s="3"/>
      <c r="J841" s="5"/>
      <c r="K841" s="3"/>
      <c r="L841" s="3"/>
      <c r="M841" s="3"/>
      <c r="N841" s="3"/>
      <c r="O841" s="5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5.75" customHeight="1" x14ac:dyDescent="0.2">
      <c r="A842" s="1"/>
      <c r="B842" s="2"/>
      <c r="C842" s="3"/>
      <c r="D842" s="3"/>
      <c r="E842" s="3"/>
      <c r="F842" s="3"/>
      <c r="G842" s="3"/>
      <c r="H842" s="4"/>
      <c r="I842" s="3"/>
      <c r="J842" s="5"/>
      <c r="K842" s="3"/>
      <c r="L842" s="3"/>
      <c r="M842" s="3"/>
      <c r="N842" s="3"/>
      <c r="O842" s="5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5.75" customHeight="1" x14ac:dyDescent="0.2">
      <c r="A843" s="1"/>
      <c r="B843" s="2"/>
      <c r="C843" s="3"/>
      <c r="D843" s="3"/>
      <c r="E843" s="3"/>
      <c r="F843" s="3"/>
      <c r="G843" s="3"/>
      <c r="H843" s="4"/>
      <c r="I843" s="3"/>
      <c r="J843" s="5"/>
      <c r="K843" s="3"/>
      <c r="L843" s="3"/>
      <c r="M843" s="3"/>
      <c r="N843" s="3"/>
      <c r="O843" s="5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5.75" customHeight="1" x14ac:dyDescent="0.2">
      <c r="A844" s="1"/>
      <c r="B844" s="2"/>
      <c r="C844" s="3"/>
      <c r="D844" s="3"/>
      <c r="E844" s="3"/>
      <c r="F844" s="3"/>
      <c r="G844" s="3"/>
      <c r="H844" s="4"/>
      <c r="I844" s="3"/>
      <c r="J844" s="5"/>
      <c r="K844" s="3"/>
      <c r="L844" s="3"/>
      <c r="M844" s="3"/>
      <c r="N844" s="3"/>
      <c r="O844" s="5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5.75" customHeight="1" x14ac:dyDescent="0.2">
      <c r="A845" s="1"/>
      <c r="B845" s="2"/>
      <c r="C845" s="3"/>
      <c r="D845" s="3"/>
      <c r="E845" s="3"/>
      <c r="F845" s="3"/>
      <c r="G845" s="3"/>
      <c r="H845" s="4"/>
      <c r="I845" s="3"/>
      <c r="J845" s="5"/>
      <c r="K845" s="3"/>
      <c r="L845" s="3"/>
      <c r="M845" s="3"/>
      <c r="N845" s="3"/>
      <c r="O845" s="5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5.75" customHeight="1" x14ac:dyDescent="0.2">
      <c r="A846" s="1"/>
      <c r="B846" s="2"/>
      <c r="C846" s="3"/>
      <c r="D846" s="3"/>
      <c r="E846" s="3"/>
      <c r="F846" s="3"/>
      <c r="G846" s="3"/>
      <c r="H846" s="4"/>
      <c r="I846" s="3"/>
      <c r="J846" s="5"/>
      <c r="K846" s="3"/>
      <c r="L846" s="3"/>
      <c r="M846" s="3"/>
      <c r="N846" s="3"/>
      <c r="O846" s="5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5.75" customHeight="1" x14ac:dyDescent="0.2">
      <c r="A847" s="1"/>
      <c r="B847" s="2"/>
      <c r="C847" s="3"/>
      <c r="D847" s="3"/>
      <c r="E847" s="3"/>
      <c r="F847" s="3"/>
      <c r="G847" s="3"/>
      <c r="H847" s="4"/>
      <c r="I847" s="3"/>
      <c r="J847" s="5"/>
      <c r="K847" s="3"/>
      <c r="L847" s="3"/>
      <c r="M847" s="3"/>
      <c r="N847" s="3"/>
      <c r="O847" s="5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5.75" customHeight="1" x14ac:dyDescent="0.2">
      <c r="A848" s="1"/>
      <c r="B848" s="2"/>
      <c r="C848" s="3"/>
      <c r="D848" s="3"/>
      <c r="E848" s="3"/>
      <c r="F848" s="3"/>
      <c r="G848" s="3"/>
      <c r="H848" s="4"/>
      <c r="I848" s="3"/>
      <c r="J848" s="5"/>
      <c r="K848" s="3"/>
      <c r="L848" s="3"/>
      <c r="M848" s="3"/>
      <c r="N848" s="3"/>
      <c r="O848" s="5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5.75" customHeight="1" x14ac:dyDescent="0.2">
      <c r="A849" s="1"/>
      <c r="B849" s="2"/>
      <c r="C849" s="3"/>
      <c r="D849" s="3"/>
      <c r="E849" s="3"/>
      <c r="F849" s="3"/>
      <c r="G849" s="3"/>
      <c r="H849" s="4"/>
      <c r="I849" s="3"/>
      <c r="J849" s="5"/>
      <c r="K849" s="3"/>
      <c r="L849" s="3"/>
      <c r="M849" s="3"/>
      <c r="N849" s="3"/>
      <c r="O849" s="5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5.75" customHeight="1" x14ac:dyDescent="0.2">
      <c r="A850" s="1"/>
      <c r="B850" s="2"/>
      <c r="C850" s="3"/>
      <c r="D850" s="3"/>
      <c r="E850" s="3"/>
      <c r="F850" s="3"/>
      <c r="G850" s="3"/>
      <c r="H850" s="4"/>
      <c r="I850" s="3"/>
      <c r="J850" s="5"/>
      <c r="K850" s="3"/>
      <c r="L850" s="3"/>
      <c r="M850" s="3"/>
      <c r="N850" s="3"/>
      <c r="O850" s="5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5.75" customHeight="1" x14ac:dyDescent="0.2">
      <c r="A851" s="1"/>
      <c r="B851" s="2"/>
      <c r="C851" s="3"/>
      <c r="D851" s="3"/>
      <c r="E851" s="3"/>
      <c r="F851" s="3"/>
      <c r="G851" s="3"/>
      <c r="H851" s="4"/>
      <c r="I851" s="3"/>
      <c r="J851" s="5"/>
      <c r="K851" s="3"/>
      <c r="L851" s="3"/>
      <c r="M851" s="3"/>
      <c r="N851" s="3"/>
      <c r="O851" s="5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5.75" customHeight="1" x14ac:dyDescent="0.2">
      <c r="A852" s="1"/>
      <c r="B852" s="2"/>
      <c r="C852" s="3"/>
      <c r="D852" s="3"/>
      <c r="E852" s="3"/>
      <c r="F852" s="3"/>
      <c r="G852" s="3"/>
      <c r="H852" s="4"/>
      <c r="I852" s="3"/>
      <c r="J852" s="5"/>
      <c r="K852" s="3"/>
      <c r="L852" s="3"/>
      <c r="M852" s="3"/>
      <c r="N852" s="3"/>
      <c r="O852" s="5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5.75" customHeight="1" x14ac:dyDescent="0.2">
      <c r="A853" s="1"/>
      <c r="B853" s="2"/>
      <c r="C853" s="3"/>
      <c r="D853" s="3"/>
      <c r="E853" s="3"/>
      <c r="F853" s="3"/>
      <c r="G853" s="3"/>
      <c r="H853" s="4"/>
      <c r="I853" s="3"/>
      <c r="J853" s="5"/>
      <c r="K853" s="3"/>
      <c r="L853" s="3"/>
      <c r="M853" s="3"/>
      <c r="N853" s="3"/>
      <c r="O853" s="5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5.75" customHeight="1" x14ac:dyDescent="0.2">
      <c r="A854" s="1"/>
      <c r="B854" s="2"/>
      <c r="C854" s="3"/>
      <c r="D854" s="3"/>
      <c r="E854" s="3"/>
      <c r="F854" s="3"/>
      <c r="G854" s="3"/>
      <c r="H854" s="4"/>
      <c r="I854" s="3"/>
      <c r="J854" s="5"/>
      <c r="K854" s="3"/>
      <c r="L854" s="3"/>
      <c r="M854" s="3"/>
      <c r="N854" s="3"/>
      <c r="O854" s="5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5.75" customHeight="1" x14ac:dyDescent="0.2">
      <c r="A855" s="1"/>
      <c r="B855" s="2"/>
      <c r="C855" s="3"/>
      <c r="D855" s="3"/>
      <c r="E855" s="3"/>
      <c r="F855" s="3"/>
      <c r="G855" s="3"/>
      <c r="H855" s="4"/>
      <c r="I855" s="3"/>
      <c r="J855" s="5"/>
      <c r="K855" s="3"/>
      <c r="L855" s="3"/>
      <c r="M855" s="3"/>
      <c r="N855" s="3"/>
      <c r="O855" s="5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5.75" customHeight="1" x14ac:dyDescent="0.2">
      <c r="A856" s="1"/>
      <c r="B856" s="2"/>
      <c r="C856" s="3"/>
      <c r="D856" s="3"/>
      <c r="E856" s="3"/>
      <c r="F856" s="3"/>
      <c r="G856" s="3"/>
      <c r="H856" s="4"/>
      <c r="I856" s="3"/>
      <c r="J856" s="5"/>
      <c r="K856" s="3"/>
      <c r="L856" s="3"/>
      <c r="M856" s="3"/>
      <c r="N856" s="3"/>
      <c r="O856" s="5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5.75" customHeight="1" x14ac:dyDescent="0.2">
      <c r="A857" s="1"/>
      <c r="B857" s="2"/>
      <c r="C857" s="3"/>
      <c r="D857" s="3"/>
      <c r="E857" s="3"/>
      <c r="F857" s="3"/>
      <c r="G857" s="3"/>
      <c r="H857" s="4"/>
      <c r="I857" s="3"/>
      <c r="J857" s="5"/>
      <c r="K857" s="3"/>
      <c r="L857" s="3"/>
      <c r="M857" s="3"/>
      <c r="N857" s="3"/>
      <c r="O857" s="5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5.75" customHeight="1" x14ac:dyDescent="0.2">
      <c r="A858" s="1"/>
      <c r="B858" s="2"/>
      <c r="C858" s="3"/>
      <c r="D858" s="3"/>
      <c r="E858" s="3"/>
      <c r="F858" s="3"/>
      <c r="G858" s="3"/>
      <c r="H858" s="4"/>
      <c r="I858" s="3"/>
      <c r="J858" s="5"/>
      <c r="K858" s="3"/>
      <c r="L858" s="3"/>
      <c r="M858" s="3"/>
      <c r="N858" s="3"/>
      <c r="O858" s="5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5.75" customHeight="1" x14ac:dyDescent="0.2">
      <c r="A859" s="1"/>
      <c r="B859" s="2"/>
      <c r="C859" s="3"/>
      <c r="D859" s="3"/>
      <c r="E859" s="3"/>
      <c r="F859" s="3"/>
      <c r="G859" s="3"/>
      <c r="H859" s="4"/>
      <c r="I859" s="3"/>
      <c r="J859" s="5"/>
      <c r="K859" s="3"/>
      <c r="L859" s="3"/>
      <c r="M859" s="3"/>
      <c r="N859" s="3"/>
      <c r="O859" s="5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5.75" customHeight="1" x14ac:dyDescent="0.2">
      <c r="A860" s="1"/>
      <c r="B860" s="2"/>
      <c r="C860" s="3"/>
      <c r="D860" s="3"/>
      <c r="E860" s="3"/>
      <c r="F860" s="3"/>
      <c r="G860" s="3"/>
      <c r="H860" s="4"/>
      <c r="I860" s="3"/>
      <c r="J860" s="5"/>
      <c r="K860" s="3"/>
      <c r="L860" s="3"/>
      <c r="M860" s="3"/>
      <c r="N860" s="3"/>
      <c r="O860" s="5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5.75" customHeight="1" x14ac:dyDescent="0.2">
      <c r="A861" s="1"/>
      <c r="B861" s="2"/>
      <c r="C861" s="3"/>
      <c r="D861" s="3"/>
      <c r="E861" s="3"/>
      <c r="F861" s="3"/>
      <c r="G861" s="3"/>
      <c r="H861" s="4"/>
      <c r="I861" s="3"/>
      <c r="J861" s="5"/>
      <c r="K861" s="3"/>
      <c r="L861" s="3"/>
      <c r="M861" s="3"/>
      <c r="N861" s="3"/>
      <c r="O861" s="5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5.75" customHeight="1" x14ac:dyDescent="0.2">
      <c r="A862" s="1"/>
      <c r="B862" s="2"/>
      <c r="C862" s="3"/>
      <c r="D862" s="3"/>
      <c r="E862" s="3"/>
      <c r="F862" s="3"/>
      <c r="G862" s="3"/>
      <c r="H862" s="4"/>
      <c r="I862" s="3"/>
      <c r="J862" s="5"/>
      <c r="K862" s="3"/>
      <c r="L862" s="3"/>
      <c r="M862" s="3"/>
      <c r="N862" s="3"/>
      <c r="O862" s="5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5.75" customHeight="1" x14ac:dyDescent="0.2">
      <c r="A863" s="1"/>
      <c r="B863" s="2"/>
      <c r="C863" s="3"/>
      <c r="D863" s="3"/>
      <c r="E863" s="3"/>
      <c r="F863" s="3"/>
      <c r="G863" s="3"/>
      <c r="H863" s="4"/>
      <c r="I863" s="3"/>
      <c r="J863" s="5"/>
      <c r="K863" s="3"/>
      <c r="L863" s="3"/>
      <c r="M863" s="3"/>
      <c r="N863" s="3"/>
      <c r="O863" s="5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5.75" customHeight="1" x14ac:dyDescent="0.2">
      <c r="A864" s="1"/>
      <c r="B864" s="2"/>
      <c r="C864" s="3"/>
      <c r="D864" s="3"/>
      <c r="E864" s="3"/>
      <c r="F864" s="3"/>
      <c r="G864" s="3"/>
      <c r="H864" s="4"/>
      <c r="I864" s="3"/>
      <c r="J864" s="5"/>
      <c r="K864" s="3"/>
      <c r="L864" s="3"/>
      <c r="M864" s="3"/>
      <c r="N864" s="3"/>
      <c r="O864" s="5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5.75" customHeight="1" x14ac:dyDescent="0.2">
      <c r="A865" s="1"/>
      <c r="B865" s="2"/>
      <c r="C865" s="3"/>
      <c r="D865" s="3"/>
      <c r="E865" s="3"/>
      <c r="F865" s="3"/>
      <c r="G865" s="3"/>
      <c r="H865" s="4"/>
      <c r="I865" s="3"/>
      <c r="J865" s="5"/>
      <c r="K865" s="3"/>
      <c r="L865" s="3"/>
      <c r="M865" s="3"/>
      <c r="N865" s="3"/>
      <c r="O865" s="5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5.75" customHeight="1" x14ac:dyDescent="0.2">
      <c r="A866" s="1"/>
      <c r="B866" s="2"/>
      <c r="C866" s="3"/>
      <c r="D866" s="3"/>
      <c r="E866" s="3"/>
      <c r="F866" s="3"/>
      <c r="G866" s="3"/>
      <c r="H866" s="4"/>
      <c r="I866" s="3"/>
      <c r="J866" s="5"/>
      <c r="K866" s="3"/>
      <c r="L866" s="3"/>
      <c r="M866" s="3"/>
      <c r="N866" s="3"/>
      <c r="O866" s="5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5.75" customHeight="1" x14ac:dyDescent="0.2">
      <c r="A867" s="1"/>
      <c r="B867" s="2"/>
      <c r="C867" s="3"/>
      <c r="D867" s="3"/>
      <c r="E867" s="3"/>
      <c r="F867" s="3"/>
      <c r="G867" s="3"/>
      <c r="H867" s="4"/>
      <c r="I867" s="3"/>
      <c r="J867" s="5"/>
      <c r="K867" s="3"/>
      <c r="L867" s="3"/>
      <c r="M867" s="3"/>
      <c r="N867" s="3"/>
      <c r="O867" s="5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5.75" customHeight="1" x14ac:dyDescent="0.2">
      <c r="A868" s="1"/>
      <c r="B868" s="2"/>
      <c r="C868" s="3"/>
      <c r="D868" s="3"/>
      <c r="E868" s="3"/>
      <c r="F868" s="3"/>
      <c r="G868" s="3"/>
      <c r="H868" s="4"/>
      <c r="I868" s="3"/>
      <c r="J868" s="5"/>
      <c r="K868" s="3"/>
      <c r="L868" s="3"/>
      <c r="M868" s="3"/>
      <c r="N868" s="3"/>
      <c r="O868" s="5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5.75" customHeight="1" x14ac:dyDescent="0.2">
      <c r="A869" s="1"/>
      <c r="B869" s="2"/>
      <c r="C869" s="3"/>
      <c r="D869" s="3"/>
      <c r="E869" s="3"/>
      <c r="F869" s="3"/>
      <c r="G869" s="3"/>
      <c r="H869" s="4"/>
      <c r="I869" s="3"/>
      <c r="J869" s="5"/>
      <c r="K869" s="3"/>
      <c r="L869" s="3"/>
      <c r="M869" s="3"/>
      <c r="N869" s="3"/>
      <c r="O869" s="5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5.75" customHeight="1" x14ac:dyDescent="0.2">
      <c r="A870" s="1"/>
      <c r="B870" s="2"/>
      <c r="C870" s="3"/>
      <c r="D870" s="3"/>
      <c r="E870" s="3"/>
      <c r="F870" s="3"/>
      <c r="G870" s="3"/>
      <c r="H870" s="4"/>
      <c r="I870" s="3"/>
      <c r="J870" s="5"/>
      <c r="K870" s="3"/>
      <c r="L870" s="3"/>
      <c r="M870" s="3"/>
      <c r="N870" s="3"/>
      <c r="O870" s="5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5.75" customHeight="1" x14ac:dyDescent="0.2">
      <c r="A871" s="1"/>
      <c r="B871" s="2"/>
      <c r="C871" s="3"/>
      <c r="D871" s="3"/>
      <c r="E871" s="3"/>
      <c r="F871" s="3"/>
      <c r="G871" s="3"/>
      <c r="H871" s="4"/>
      <c r="I871" s="3"/>
      <c r="J871" s="5"/>
      <c r="K871" s="3"/>
      <c r="L871" s="3"/>
      <c r="M871" s="3"/>
      <c r="N871" s="3"/>
      <c r="O871" s="5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5.75" customHeight="1" x14ac:dyDescent="0.2">
      <c r="A872" s="1"/>
      <c r="B872" s="2"/>
      <c r="C872" s="3"/>
      <c r="D872" s="3"/>
      <c r="E872" s="3"/>
      <c r="F872" s="3"/>
      <c r="G872" s="3"/>
      <c r="H872" s="4"/>
      <c r="I872" s="3"/>
      <c r="J872" s="5"/>
      <c r="K872" s="3"/>
      <c r="L872" s="3"/>
      <c r="M872" s="3"/>
      <c r="N872" s="3"/>
      <c r="O872" s="5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5.75" customHeight="1" x14ac:dyDescent="0.2">
      <c r="A873" s="1"/>
      <c r="B873" s="2"/>
      <c r="C873" s="3"/>
      <c r="D873" s="3"/>
      <c r="E873" s="3"/>
      <c r="F873" s="3"/>
      <c r="G873" s="3"/>
      <c r="H873" s="4"/>
      <c r="I873" s="3"/>
      <c r="J873" s="5"/>
      <c r="K873" s="3"/>
      <c r="L873" s="3"/>
      <c r="M873" s="3"/>
      <c r="N873" s="3"/>
      <c r="O873" s="5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5.75" customHeight="1" x14ac:dyDescent="0.2">
      <c r="A874" s="1"/>
      <c r="B874" s="2"/>
      <c r="C874" s="3"/>
      <c r="D874" s="3"/>
      <c r="E874" s="3"/>
      <c r="F874" s="3"/>
      <c r="G874" s="3"/>
      <c r="H874" s="4"/>
      <c r="I874" s="3"/>
      <c r="J874" s="5"/>
      <c r="K874" s="3"/>
      <c r="L874" s="3"/>
      <c r="M874" s="3"/>
      <c r="N874" s="3"/>
      <c r="O874" s="5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5.75" customHeight="1" x14ac:dyDescent="0.2">
      <c r="A875" s="1"/>
      <c r="B875" s="2"/>
      <c r="C875" s="3"/>
      <c r="D875" s="3"/>
      <c r="E875" s="3"/>
      <c r="F875" s="3"/>
      <c r="G875" s="3"/>
      <c r="H875" s="4"/>
      <c r="I875" s="3"/>
      <c r="J875" s="5"/>
      <c r="K875" s="3"/>
      <c r="L875" s="3"/>
      <c r="M875" s="3"/>
      <c r="N875" s="3"/>
      <c r="O875" s="5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5.75" customHeight="1" x14ac:dyDescent="0.2">
      <c r="A876" s="1"/>
      <c r="B876" s="2"/>
      <c r="C876" s="3"/>
      <c r="D876" s="3"/>
      <c r="E876" s="3"/>
      <c r="F876" s="3"/>
      <c r="G876" s="3"/>
      <c r="H876" s="4"/>
      <c r="I876" s="3"/>
      <c r="J876" s="5"/>
      <c r="K876" s="3"/>
      <c r="L876" s="3"/>
      <c r="M876" s="3"/>
      <c r="N876" s="3"/>
      <c r="O876" s="5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5.75" customHeight="1" x14ac:dyDescent="0.2">
      <c r="A877" s="1"/>
      <c r="B877" s="2"/>
      <c r="C877" s="3"/>
      <c r="D877" s="3"/>
      <c r="E877" s="3"/>
      <c r="F877" s="3"/>
      <c r="G877" s="3"/>
      <c r="H877" s="4"/>
      <c r="I877" s="3"/>
      <c r="J877" s="5"/>
      <c r="K877" s="3"/>
      <c r="L877" s="3"/>
      <c r="M877" s="3"/>
      <c r="N877" s="3"/>
      <c r="O877" s="5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5.75" customHeight="1" x14ac:dyDescent="0.2">
      <c r="A878" s="1"/>
      <c r="B878" s="2"/>
      <c r="C878" s="3"/>
      <c r="D878" s="3"/>
      <c r="E878" s="3"/>
      <c r="F878" s="3"/>
      <c r="G878" s="3"/>
      <c r="H878" s="4"/>
      <c r="I878" s="3"/>
      <c r="J878" s="5"/>
      <c r="K878" s="3"/>
      <c r="L878" s="3"/>
      <c r="M878" s="3"/>
      <c r="N878" s="3"/>
      <c r="O878" s="5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5.75" customHeight="1" x14ac:dyDescent="0.2">
      <c r="A879" s="1"/>
      <c r="B879" s="2"/>
      <c r="C879" s="3"/>
      <c r="D879" s="3"/>
      <c r="E879" s="3"/>
      <c r="F879" s="3"/>
      <c r="G879" s="3"/>
      <c r="H879" s="4"/>
      <c r="I879" s="3"/>
      <c r="J879" s="5"/>
      <c r="K879" s="3"/>
      <c r="L879" s="3"/>
      <c r="M879" s="3"/>
      <c r="N879" s="3"/>
      <c r="O879" s="5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5.75" customHeight="1" x14ac:dyDescent="0.2">
      <c r="A880" s="1"/>
      <c r="B880" s="2"/>
      <c r="C880" s="3"/>
      <c r="D880" s="3"/>
      <c r="E880" s="3"/>
      <c r="F880" s="3"/>
      <c r="G880" s="3"/>
      <c r="H880" s="4"/>
      <c r="I880" s="3"/>
      <c r="J880" s="5"/>
      <c r="K880" s="3"/>
      <c r="L880" s="3"/>
      <c r="M880" s="3"/>
      <c r="N880" s="3"/>
      <c r="O880" s="5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5.75" customHeight="1" x14ac:dyDescent="0.2">
      <c r="A881" s="1"/>
      <c r="B881" s="2"/>
      <c r="C881" s="3"/>
      <c r="D881" s="3"/>
      <c r="E881" s="3"/>
      <c r="F881" s="3"/>
      <c r="G881" s="3"/>
      <c r="H881" s="4"/>
      <c r="I881" s="3"/>
      <c r="J881" s="5"/>
      <c r="K881" s="3"/>
      <c r="L881" s="3"/>
      <c r="M881" s="3"/>
      <c r="N881" s="3"/>
      <c r="O881" s="5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5.75" customHeight="1" x14ac:dyDescent="0.2">
      <c r="A882" s="1"/>
      <c r="B882" s="2"/>
      <c r="C882" s="3"/>
      <c r="D882" s="3"/>
      <c r="E882" s="3"/>
      <c r="F882" s="3"/>
      <c r="G882" s="3"/>
      <c r="H882" s="4"/>
      <c r="I882" s="3"/>
      <c r="J882" s="5"/>
      <c r="K882" s="3"/>
      <c r="L882" s="3"/>
      <c r="M882" s="3"/>
      <c r="N882" s="3"/>
      <c r="O882" s="5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5.75" customHeight="1" x14ac:dyDescent="0.2">
      <c r="A883" s="1"/>
      <c r="B883" s="2"/>
      <c r="C883" s="3"/>
      <c r="D883" s="3"/>
      <c r="E883" s="3"/>
      <c r="F883" s="3"/>
      <c r="G883" s="3"/>
      <c r="H883" s="4"/>
      <c r="I883" s="3"/>
      <c r="J883" s="5"/>
      <c r="K883" s="3"/>
      <c r="L883" s="3"/>
      <c r="M883" s="3"/>
      <c r="N883" s="3"/>
      <c r="O883" s="5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5.75" customHeight="1" x14ac:dyDescent="0.2">
      <c r="A884" s="1"/>
      <c r="B884" s="2"/>
      <c r="C884" s="3"/>
      <c r="D884" s="3"/>
      <c r="E884" s="3"/>
      <c r="F884" s="3"/>
      <c r="G884" s="3"/>
      <c r="H884" s="4"/>
      <c r="I884" s="3"/>
      <c r="J884" s="5"/>
      <c r="K884" s="3"/>
      <c r="L884" s="3"/>
      <c r="M884" s="3"/>
      <c r="N884" s="3"/>
      <c r="O884" s="5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5.75" customHeight="1" x14ac:dyDescent="0.2">
      <c r="A885" s="1"/>
      <c r="B885" s="2"/>
      <c r="C885" s="3"/>
      <c r="D885" s="3"/>
      <c r="E885" s="3"/>
      <c r="F885" s="3"/>
      <c r="G885" s="3"/>
      <c r="H885" s="4"/>
      <c r="I885" s="3"/>
      <c r="J885" s="5"/>
      <c r="K885" s="3"/>
      <c r="L885" s="3"/>
      <c r="M885" s="3"/>
      <c r="N885" s="3"/>
      <c r="O885" s="5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5.75" customHeight="1" x14ac:dyDescent="0.2">
      <c r="A886" s="1"/>
      <c r="B886" s="2"/>
      <c r="C886" s="3"/>
      <c r="D886" s="3"/>
      <c r="E886" s="3"/>
      <c r="F886" s="3"/>
      <c r="G886" s="3"/>
      <c r="H886" s="4"/>
      <c r="I886" s="3"/>
      <c r="J886" s="5"/>
      <c r="K886" s="3"/>
      <c r="L886" s="3"/>
      <c r="M886" s="3"/>
      <c r="N886" s="3"/>
      <c r="O886" s="5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5.75" customHeight="1" x14ac:dyDescent="0.2">
      <c r="A887" s="1"/>
      <c r="B887" s="2"/>
      <c r="C887" s="3"/>
      <c r="D887" s="3"/>
      <c r="E887" s="3"/>
      <c r="F887" s="3"/>
      <c r="G887" s="3"/>
      <c r="H887" s="4"/>
      <c r="I887" s="3"/>
      <c r="J887" s="5"/>
      <c r="K887" s="3"/>
      <c r="L887" s="3"/>
      <c r="M887" s="3"/>
      <c r="N887" s="3"/>
      <c r="O887" s="5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5.75" customHeight="1" x14ac:dyDescent="0.2">
      <c r="A888" s="1"/>
      <c r="B888" s="2"/>
      <c r="C888" s="3"/>
      <c r="D888" s="3"/>
      <c r="E888" s="3"/>
      <c r="F888" s="3"/>
      <c r="G888" s="3"/>
      <c r="H888" s="4"/>
      <c r="I888" s="3"/>
      <c r="J888" s="5"/>
      <c r="K888" s="3"/>
      <c r="L888" s="3"/>
      <c r="M888" s="3"/>
      <c r="N888" s="3"/>
      <c r="O888" s="5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5.75" customHeight="1" x14ac:dyDescent="0.2">
      <c r="A889" s="1"/>
      <c r="B889" s="2"/>
      <c r="C889" s="3"/>
      <c r="D889" s="3"/>
      <c r="E889" s="3"/>
      <c r="F889" s="3"/>
      <c r="G889" s="3"/>
      <c r="H889" s="4"/>
      <c r="I889" s="3"/>
      <c r="J889" s="5"/>
      <c r="K889" s="3"/>
      <c r="L889" s="3"/>
      <c r="M889" s="3"/>
      <c r="N889" s="3"/>
      <c r="O889" s="5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5.75" customHeight="1" x14ac:dyDescent="0.2">
      <c r="A890" s="1"/>
      <c r="B890" s="2"/>
      <c r="C890" s="3"/>
      <c r="D890" s="3"/>
      <c r="E890" s="3"/>
      <c r="F890" s="3"/>
      <c r="G890" s="3"/>
      <c r="H890" s="4"/>
      <c r="I890" s="3"/>
      <c r="J890" s="5"/>
      <c r="K890" s="3"/>
      <c r="L890" s="3"/>
      <c r="M890" s="3"/>
      <c r="N890" s="3"/>
      <c r="O890" s="5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5.75" customHeight="1" x14ac:dyDescent="0.2">
      <c r="A891" s="1"/>
      <c r="B891" s="2"/>
      <c r="C891" s="3"/>
      <c r="D891" s="3"/>
      <c r="E891" s="3"/>
      <c r="F891" s="3"/>
      <c r="G891" s="3"/>
      <c r="H891" s="4"/>
      <c r="I891" s="3"/>
      <c r="J891" s="5"/>
      <c r="K891" s="3"/>
      <c r="L891" s="3"/>
      <c r="M891" s="3"/>
      <c r="N891" s="3"/>
      <c r="O891" s="5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5.75" customHeight="1" x14ac:dyDescent="0.2">
      <c r="A892" s="1"/>
      <c r="B892" s="2"/>
      <c r="C892" s="3"/>
      <c r="D892" s="3"/>
      <c r="E892" s="3"/>
      <c r="F892" s="3"/>
      <c r="G892" s="3"/>
      <c r="H892" s="4"/>
      <c r="I892" s="3"/>
      <c r="J892" s="5"/>
      <c r="K892" s="3"/>
      <c r="L892" s="3"/>
      <c r="M892" s="3"/>
      <c r="N892" s="3"/>
      <c r="O892" s="5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5.75" customHeight="1" x14ac:dyDescent="0.2">
      <c r="A893" s="1"/>
      <c r="B893" s="2"/>
      <c r="C893" s="3"/>
      <c r="D893" s="3"/>
      <c r="E893" s="3"/>
      <c r="F893" s="3"/>
      <c r="G893" s="3"/>
      <c r="H893" s="4"/>
      <c r="I893" s="3"/>
      <c r="J893" s="5"/>
      <c r="K893" s="3"/>
      <c r="L893" s="3"/>
      <c r="M893" s="3"/>
      <c r="N893" s="3"/>
      <c r="O893" s="5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5.75" customHeight="1" x14ac:dyDescent="0.2">
      <c r="A894" s="1"/>
      <c r="B894" s="2"/>
      <c r="C894" s="3"/>
      <c r="D894" s="3"/>
      <c r="E894" s="3"/>
      <c r="F894" s="3"/>
      <c r="G894" s="3"/>
      <c r="H894" s="4"/>
      <c r="I894" s="3"/>
      <c r="J894" s="5"/>
      <c r="K894" s="3"/>
      <c r="L894" s="3"/>
      <c r="M894" s="3"/>
      <c r="N894" s="3"/>
      <c r="O894" s="5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5.75" customHeight="1" x14ac:dyDescent="0.2">
      <c r="A895" s="1"/>
      <c r="B895" s="2"/>
      <c r="C895" s="3"/>
      <c r="D895" s="3"/>
      <c r="E895" s="3"/>
      <c r="F895" s="3"/>
      <c r="G895" s="3"/>
      <c r="H895" s="4"/>
      <c r="I895" s="3"/>
      <c r="J895" s="5"/>
      <c r="K895" s="3"/>
      <c r="L895" s="3"/>
      <c r="M895" s="3"/>
      <c r="N895" s="3"/>
      <c r="O895" s="5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5.75" customHeight="1" x14ac:dyDescent="0.2">
      <c r="A896" s="1"/>
      <c r="B896" s="2"/>
      <c r="C896" s="3"/>
      <c r="D896" s="3"/>
      <c r="E896" s="3"/>
      <c r="F896" s="3"/>
      <c r="G896" s="3"/>
      <c r="H896" s="4"/>
      <c r="I896" s="3"/>
      <c r="J896" s="5"/>
      <c r="K896" s="3"/>
      <c r="L896" s="3"/>
      <c r="M896" s="3"/>
      <c r="N896" s="3"/>
      <c r="O896" s="5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5.75" customHeight="1" x14ac:dyDescent="0.2">
      <c r="A897" s="1"/>
      <c r="B897" s="2"/>
      <c r="C897" s="3"/>
      <c r="D897" s="3"/>
      <c r="E897" s="3"/>
      <c r="F897" s="3"/>
      <c r="G897" s="3"/>
      <c r="H897" s="4"/>
      <c r="I897" s="3"/>
      <c r="J897" s="5"/>
      <c r="K897" s="3"/>
      <c r="L897" s="3"/>
      <c r="M897" s="3"/>
      <c r="N897" s="3"/>
      <c r="O897" s="5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5.75" customHeight="1" x14ac:dyDescent="0.2">
      <c r="A898" s="1"/>
      <c r="B898" s="2"/>
      <c r="C898" s="3"/>
      <c r="D898" s="3"/>
      <c r="E898" s="3"/>
      <c r="F898" s="3"/>
      <c r="G898" s="3"/>
      <c r="H898" s="4"/>
      <c r="I898" s="3"/>
      <c r="J898" s="5"/>
      <c r="K898" s="3"/>
      <c r="L898" s="3"/>
      <c r="M898" s="3"/>
      <c r="N898" s="3"/>
      <c r="O898" s="5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5.75" customHeight="1" x14ac:dyDescent="0.2">
      <c r="A899" s="1"/>
      <c r="B899" s="2"/>
      <c r="C899" s="3"/>
      <c r="D899" s="3"/>
      <c r="E899" s="3"/>
      <c r="F899" s="3"/>
      <c r="G899" s="3"/>
      <c r="H899" s="4"/>
      <c r="I899" s="3"/>
      <c r="J899" s="5"/>
      <c r="K899" s="3"/>
      <c r="L899" s="3"/>
      <c r="M899" s="3"/>
      <c r="N899" s="3"/>
      <c r="O899" s="5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5.75" customHeight="1" x14ac:dyDescent="0.2">
      <c r="A900" s="1"/>
      <c r="B900" s="2"/>
      <c r="C900" s="3"/>
      <c r="D900" s="3"/>
      <c r="E900" s="3"/>
      <c r="F900" s="3"/>
      <c r="G900" s="3"/>
      <c r="H900" s="4"/>
      <c r="I900" s="3"/>
      <c r="J900" s="5"/>
      <c r="K900" s="3"/>
      <c r="L900" s="3"/>
      <c r="M900" s="3"/>
      <c r="N900" s="3"/>
      <c r="O900" s="5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5.75" customHeight="1" x14ac:dyDescent="0.2">
      <c r="A901" s="1"/>
      <c r="B901" s="2"/>
      <c r="C901" s="3"/>
      <c r="D901" s="3"/>
      <c r="E901" s="3"/>
      <c r="F901" s="3"/>
      <c r="G901" s="3"/>
      <c r="H901" s="4"/>
      <c r="I901" s="3"/>
      <c r="J901" s="5"/>
      <c r="K901" s="3"/>
      <c r="L901" s="3"/>
      <c r="M901" s="3"/>
      <c r="N901" s="3"/>
      <c r="O901" s="5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5.75" customHeight="1" x14ac:dyDescent="0.2">
      <c r="A902" s="1"/>
      <c r="B902" s="2"/>
      <c r="C902" s="3"/>
      <c r="D902" s="3"/>
      <c r="E902" s="3"/>
      <c r="F902" s="3"/>
      <c r="G902" s="3"/>
      <c r="H902" s="4"/>
      <c r="I902" s="3"/>
      <c r="J902" s="5"/>
      <c r="K902" s="3"/>
      <c r="L902" s="3"/>
      <c r="M902" s="3"/>
      <c r="N902" s="3"/>
      <c r="O902" s="5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5.75" customHeight="1" x14ac:dyDescent="0.2">
      <c r="A903" s="1"/>
      <c r="B903" s="2"/>
      <c r="C903" s="3"/>
      <c r="D903" s="3"/>
      <c r="E903" s="3"/>
      <c r="F903" s="3"/>
      <c r="G903" s="3"/>
      <c r="H903" s="4"/>
      <c r="I903" s="3"/>
      <c r="J903" s="5"/>
      <c r="K903" s="3"/>
      <c r="L903" s="3"/>
      <c r="M903" s="3"/>
      <c r="N903" s="3"/>
      <c r="O903" s="5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5.75" customHeight="1" x14ac:dyDescent="0.2">
      <c r="A904" s="1"/>
      <c r="B904" s="2"/>
      <c r="C904" s="3"/>
      <c r="D904" s="3"/>
      <c r="E904" s="3"/>
      <c r="F904" s="3"/>
      <c r="G904" s="3"/>
      <c r="H904" s="4"/>
      <c r="I904" s="3"/>
      <c r="J904" s="5"/>
      <c r="K904" s="3"/>
      <c r="L904" s="3"/>
      <c r="M904" s="3"/>
      <c r="N904" s="3"/>
      <c r="O904" s="5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5.75" customHeight="1" x14ac:dyDescent="0.2">
      <c r="A905" s="1"/>
      <c r="B905" s="2"/>
      <c r="C905" s="3"/>
      <c r="D905" s="3"/>
      <c r="E905" s="3"/>
      <c r="F905" s="3"/>
      <c r="G905" s="3"/>
      <c r="H905" s="4"/>
      <c r="I905" s="3"/>
      <c r="J905" s="5"/>
      <c r="K905" s="3"/>
      <c r="L905" s="3"/>
      <c r="M905" s="3"/>
      <c r="N905" s="3"/>
      <c r="O905" s="5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5.75" customHeight="1" x14ac:dyDescent="0.2">
      <c r="A906" s="1"/>
      <c r="B906" s="2"/>
      <c r="C906" s="3"/>
      <c r="D906" s="3"/>
      <c r="E906" s="3"/>
      <c r="F906" s="3"/>
      <c r="G906" s="3"/>
      <c r="H906" s="4"/>
      <c r="I906" s="3"/>
      <c r="J906" s="5"/>
      <c r="K906" s="3"/>
      <c r="L906" s="3"/>
      <c r="M906" s="3"/>
      <c r="N906" s="3"/>
      <c r="O906" s="5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5.75" customHeight="1" x14ac:dyDescent="0.2">
      <c r="A907" s="1"/>
      <c r="B907" s="2"/>
      <c r="C907" s="3"/>
      <c r="D907" s="3"/>
      <c r="E907" s="3"/>
      <c r="F907" s="3"/>
      <c r="G907" s="3"/>
      <c r="H907" s="4"/>
      <c r="I907" s="3"/>
      <c r="J907" s="5"/>
      <c r="K907" s="3"/>
      <c r="L907" s="3"/>
      <c r="M907" s="3"/>
      <c r="N907" s="3"/>
      <c r="O907" s="5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5.75" customHeight="1" x14ac:dyDescent="0.2">
      <c r="A908" s="1"/>
      <c r="B908" s="2"/>
      <c r="C908" s="3"/>
      <c r="D908" s="3"/>
      <c r="E908" s="3"/>
      <c r="F908" s="3"/>
      <c r="G908" s="3"/>
      <c r="H908" s="4"/>
      <c r="I908" s="3"/>
      <c r="J908" s="5"/>
      <c r="K908" s="3"/>
      <c r="L908" s="3"/>
      <c r="M908" s="3"/>
      <c r="N908" s="3"/>
      <c r="O908" s="5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5.75" customHeight="1" x14ac:dyDescent="0.2">
      <c r="A909" s="1"/>
      <c r="B909" s="2"/>
      <c r="C909" s="3"/>
      <c r="D909" s="3"/>
      <c r="E909" s="3"/>
      <c r="F909" s="3"/>
      <c r="G909" s="3"/>
      <c r="H909" s="4"/>
      <c r="I909" s="3"/>
      <c r="J909" s="5"/>
      <c r="K909" s="3"/>
      <c r="L909" s="3"/>
      <c r="M909" s="3"/>
      <c r="N909" s="3"/>
      <c r="O909" s="5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5.75" customHeight="1" x14ac:dyDescent="0.2">
      <c r="A910" s="1"/>
      <c r="B910" s="2"/>
      <c r="C910" s="3"/>
      <c r="D910" s="3"/>
      <c r="E910" s="3"/>
      <c r="F910" s="3"/>
      <c r="G910" s="3"/>
      <c r="H910" s="4"/>
      <c r="I910" s="3"/>
      <c r="J910" s="5"/>
      <c r="K910" s="3"/>
      <c r="L910" s="3"/>
      <c r="M910" s="3"/>
      <c r="N910" s="3"/>
      <c r="O910" s="5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5.75" customHeight="1" x14ac:dyDescent="0.2">
      <c r="A911" s="1"/>
      <c r="B911" s="2"/>
      <c r="C911" s="3"/>
      <c r="D911" s="3"/>
      <c r="E911" s="3"/>
      <c r="F911" s="3"/>
      <c r="G911" s="3"/>
      <c r="H911" s="4"/>
      <c r="I911" s="3"/>
      <c r="J911" s="5"/>
      <c r="K911" s="3"/>
      <c r="L911" s="3"/>
      <c r="M911" s="3"/>
      <c r="N911" s="3"/>
      <c r="O911" s="5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5.75" customHeight="1" x14ac:dyDescent="0.2">
      <c r="A912" s="1"/>
      <c r="B912" s="2"/>
      <c r="C912" s="3"/>
      <c r="D912" s="3"/>
      <c r="E912" s="3"/>
      <c r="F912" s="3"/>
      <c r="G912" s="3"/>
      <c r="H912" s="4"/>
      <c r="I912" s="3"/>
      <c r="J912" s="5"/>
      <c r="K912" s="3"/>
      <c r="L912" s="3"/>
      <c r="M912" s="3"/>
      <c r="N912" s="3"/>
      <c r="O912" s="5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5.75" customHeight="1" x14ac:dyDescent="0.2">
      <c r="A913" s="1"/>
      <c r="B913" s="2"/>
      <c r="C913" s="3"/>
      <c r="D913" s="3"/>
      <c r="E913" s="3"/>
      <c r="F913" s="3"/>
      <c r="G913" s="3"/>
      <c r="H913" s="4"/>
      <c r="I913" s="3"/>
      <c r="J913" s="5"/>
      <c r="K913" s="3"/>
      <c r="L913" s="3"/>
      <c r="M913" s="3"/>
      <c r="N913" s="3"/>
      <c r="O913" s="5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5.75" customHeight="1" x14ac:dyDescent="0.2">
      <c r="A914" s="1"/>
      <c r="B914" s="2"/>
      <c r="C914" s="3"/>
      <c r="D914" s="3"/>
      <c r="E914" s="3"/>
      <c r="F914" s="3"/>
      <c r="G914" s="3"/>
      <c r="H914" s="4"/>
      <c r="I914" s="3"/>
      <c r="J914" s="5"/>
      <c r="K914" s="3"/>
      <c r="L914" s="3"/>
      <c r="M914" s="3"/>
      <c r="N914" s="3"/>
      <c r="O914" s="5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5.75" customHeight="1" x14ac:dyDescent="0.2">
      <c r="A915" s="1"/>
      <c r="B915" s="2"/>
      <c r="C915" s="3"/>
      <c r="D915" s="3"/>
      <c r="E915" s="3"/>
      <c r="F915" s="3"/>
      <c r="G915" s="3"/>
      <c r="H915" s="4"/>
      <c r="I915" s="3"/>
      <c r="J915" s="5"/>
      <c r="K915" s="3"/>
      <c r="L915" s="3"/>
      <c r="M915" s="3"/>
      <c r="N915" s="3"/>
      <c r="O915" s="5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5.75" customHeight="1" x14ac:dyDescent="0.2">
      <c r="A916" s="1"/>
      <c r="B916" s="2"/>
      <c r="C916" s="3"/>
      <c r="D916" s="3"/>
      <c r="E916" s="3"/>
      <c r="F916" s="3"/>
      <c r="G916" s="3"/>
      <c r="H916" s="4"/>
      <c r="I916" s="3"/>
      <c r="J916" s="5"/>
      <c r="K916" s="3"/>
      <c r="L916" s="3"/>
      <c r="M916" s="3"/>
      <c r="N916" s="3"/>
      <c r="O916" s="5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5.75" customHeight="1" x14ac:dyDescent="0.2">
      <c r="A917" s="1"/>
      <c r="B917" s="2"/>
      <c r="C917" s="3"/>
      <c r="D917" s="3"/>
      <c r="E917" s="3"/>
      <c r="F917" s="3"/>
      <c r="G917" s="3"/>
      <c r="H917" s="4"/>
      <c r="I917" s="3"/>
      <c r="J917" s="5"/>
      <c r="K917" s="3"/>
      <c r="L917" s="3"/>
      <c r="M917" s="3"/>
      <c r="N917" s="3"/>
      <c r="O917" s="5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</sheetData>
  <autoFilter ref="A3:W735" xr:uid="{00000000-0009-0000-0000-000000000000}">
    <sortState xmlns:xlrd2="http://schemas.microsoft.com/office/spreadsheetml/2017/richdata2" ref="A3:W735">
      <sortCondition ref="A3:A735"/>
      <sortCondition ref="H3:H735"/>
      <sortCondition ref="F3:F735"/>
    </sortState>
  </autoFilter>
  <phoneticPr fontId="8" type="noConversion"/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1"/>
  <sheetViews>
    <sheetView workbookViewId="0"/>
  </sheetViews>
  <sheetFormatPr baseColWidth="10" defaultColWidth="12.6640625" defaultRowHeight="15" customHeight="1" x14ac:dyDescent="0.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187c98b-201f-436a-9f2e-04eb4fcd031a">
      <Terms xmlns="http://schemas.microsoft.com/office/infopath/2007/PartnerControls"/>
    </lcf76f155ced4ddcb4097134ff3c332f>
    <TaxCatchAll xmlns="f80068a2-cc98-4f6a-b9ba-7438b059570d" xsi:nil="true"/>
    <SharedWithUsers xmlns="f80068a2-cc98-4f6a-b9ba-7438b059570d">
      <UserInfo>
        <DisplayName/>
        <AccountId xsi:nil="true"/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08D370247D4A479760A2BA3B7C68C2" ma:contentTypeVersion="15" ma:contentTypeDescription="Create a new document." ma:contentTypeScope="" ma:versionID="82c981a92905dcf82f5b260a03b3ee2e">
  <xsd:schema xmlns:xsd="http://www.w3.org/2001/XMLSchema" xmlns:xs="http://www.w3.org/2001/XMLSchema" xmlns:p="http://schemas.microsoft.com/office/2006/metadata/properties" xmlns:ns2="9187c98b-201f-436a-9f2e-04eb4fcd031a" xmlns:ns3="f80068a2-cc98-4f6a-b9ba-7438b059570d" targetNamespace="http://schemas.microsoft.com/office/2006/metadata/properties" ma:root="true" ma:fieldsID="3024040de470491bb0083c2526276a9b" ns2:_="" ns3:_="">
    <xsd:import namespace="9187c98b-201f-436a-9f2e-04eb4fcd031a"/>
    <xsd:import namespace="f80068a2-cc98-4f6a-b9ba-7438b059570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87c98b-201f-436a-9f2e-04eb4fcd03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ae74df71-1e60-46a5-9e9d-dfd5449d96d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0068a2-cc98-4f6a-b9ba-7438b059570d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cf1bf76b-a746-457b-9abb-b0a48222ba14}" ma:internalName="TaxCatchAll" ma:showField="CatchAllData" ma:web="f80068a2-cc98-4f6a-b9ba-7438b059570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9135879-57CC-42C2-87B0-5876FA694032}">
  <ds:schemaRefs>
    <ds:schemaRef ds:uri="http://schemas.microsoft.com/office/2006/metadata/properties"/>
    <ds:schemaRef ds:uri="http://schemas.microsoft.com/office/infopath/2007/PartnerControls"/>
    <ds:schemaRef ds:uri="9187c98b-201f-436a-9f2e-04eb4fcd031a"/>
    <ds:schemaRef ds:uri="f80068a2-cc98-4f6a-b9ba-7438b059570d"/>
  </ds:schemaRefs>
</ds:datastoreItem>
</file>

<file path=customXml/itemProps2.xml><?xml version="1.0" encoding="utf-8"?>
<ds:datastoreItem xmlns:ds="http://schemas.openxmlformats.org/officeDocument/2006/customXml" ds:itemID="{CA7321D5-A277-46AB-A72C-043E0BB3DD8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9304BC3-034F-4016-99B4-FF9E02DD4F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87c98b-201f-436a-9f2e-04eb4fcd031a"/>
    <ds:schemaRef ds:uri="f80068a2-cc98-4f6a-b9ba-7438b059570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Hourly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vdavuluri</dc:creator>
  <cp:lastModifiedBy>Tung Le</cp:lastModifiedBy>
  <dcterms:created xsi:type="dcterms:W3CDTF">2010-08-05T19:45:07Z</dcterms:created>
  <dcterms:modified xsi:type="dcterms:W3CDTF">2025-07-02T18:41:59Z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0x0101005D08D370247D4A479760A2BA3B7C68C2</vt:lpwstr>
  </property>
  <property fmtid="{D5CDD505-2E9C-101B-9397-08002B2CF9AE}" pid="3" name="Order">
    <vt:r8>372052600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TriggerFlowInfo">
    <vt:lpwstr/>
  </property>
  <property fmtid="{D5CDD505-2E9C-101B-9397-08002B2CF9AE}" pid="7" name="_SourceUrl">
    <vt:lpwstr/>
  </property>
  <property fmtid="{D5CDD505-2E9C-101B-9397-08002B2CF9AE}" pid="8" name="_SharedFileIndex">
    <vt:lpwstr/>
  </property>
  <property fmtid="{D5CDD505-2E9C-101B-9397-08002B2CF9AE}" pid="9" name="ComplianceAssetId">
    <vt:lpwstr/>
  </property>
  <property fmtid="{D5CDD505-2E9C-101B-9397-08002B2CF9AE}" pid="10" name="TemplateUrl">
    <vt:lpwstr/>
  </property>
  <property fmtid="{D5CDD505-2E9C-101B-9397-08002B2CF9AE}" pid="11" name="_ExtendedDescription">
    <vt:lpwstr/>
  </property>
  <property fmtid="{D5CDD505-2E9C-101B-9397-08002B2CF9AE}" pid="12" name="MediaServiceImageTags">
    <vt:lpwstr/>
  </property>
</Properties>
</file>